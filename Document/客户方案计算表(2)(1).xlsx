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564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<sst xmlns="http://schemas.openxmlformats.org/spreadsheetml/2006/main" count="19" uniqueCount="19">
  <si>
    <t>使用说明</t>
  </si>
  <si>
    <t>手动填写第一行数据</t>
  </si>
  <si>
    <r>
      <rPr>
        <b/>
        <sz val="11"/>
        <color theme="1"/>
        <rFont val="宋体"/>
        <charset val="134"/>
        <scheme val="minor"/>
      </rPr>
      <t xml:space="preserve">还款期数与签订合同保持一致
</t>
    </r>
    <r>
      <rPr>
        <sz val="10"/>
        <color rgb="FFFF0000"/>
        <rFont val="宋体"/>
        <charset val="134"/>
        <scheme val="minor"/>
      </rPr>
      <t>此列需要手动填写</t>
    </r>
  </si>
  <si>
    <r>
      <rPr>
        <b/>
        <sz val="11"/>
        <color theme="1"/>
        <rFont val="宋体"/>
        <charset val="134"/>
        <scheme val="minor"/>
      </rPr>
      <t xml:space="preserve">计息本金*15.4%/12
</t>
    </r>
    <r>
      <rPr>
        <b/>
        <sz val="11"/>
        <color rgb="FFFF0000"/>
        <rFont val="宋体"/>
        <charset val="134"/>
        <scheme val="minor"/>
      </rPr>
      <t>此列为公式,不要修改</t>
    </r>
  </si>
  <si>
    <r>
      <rPr>
        <b/>
        <sz val="11"/>
        <color theme="1"/>
        <rFont val="宋体"/>
        <charset val="134"/>
        <scheme val="minor"/>
      </rPr>
      <t xml:space="preserve">与签订合同保持一致
</t>
    </r>
    <r>
      <rPr>
        <sz val="10"/>
        <color rgb="FFFF0000"/>
        <rFont val="宋体"/>
        <charset val="134"/>
        <scheme val="minor"/>
      </rPr>
      <t>此列需要手动填写</t>
    </r>
  </si>
  <si>
    <t>此列为公式
不要修改</t>
  </si>
  <si>
    <t>计息本金</t>
  </si>
  <si>
    <t>还款期数
（合同）</t>
  </si>
  <si>
    <t>应还利息金额</t>
  </si>
  <si>
    <t>还款金额</t>
  </si>
  <si>
    <t>应抵本金</t>
  </si>
  <si>
    <t>数值对应关系</t>
  </si>
  <si>
    <t>解释</t>
  </si>
  <si>
    <t>计息本金=客户实际到账本金，不包含砍头息</t>
  </si>
  <si>
    <t>应还利息=计息本金*15.4%/12</t>
  </si>
  <si>
    <t>每个月客户按15.4%应该还的利息</t>
  </si>
  <si>
    <t>还款金额=合同约定还款金额</t>
  </si>
  <si>
    <t>应抵本金=还款金额-应还利息金额</t>
  </si>
  <si>
    <t>第二期计息本金=客户实际到账本金-应抵本金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</si>
</sst>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0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0" fillId="28" borderId="9" applyNumberFormat="0" applyAlignment="0" applyProtection="0">
      <alignment vertical="center"/>
    </xf>
    <xf numFmtId="0" fontId="21" fillId="28" borderId="6" applyNumberFormat="0" applyAlignment="0" applyProtection="0">
      <alignment vertical="center"/>
    </xf>
    <xf numFmtId="0" fontId="17" fillId="18" borderId="8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6" fontId="0" fillId="3" borderId="1" xfId="0" applyNumberForma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tabSelected="1" topLeftCell="A31" workbookViewId="0">
      <selection activeCell="H40" sqref="H40"/>
    </sheetView>
  </sheetViews>
  <sheetFormatPr defaultColWidth="9" defaultRowHeight="14.4"/>
  <cols>
    <col min="1" max="1" width="9" style="1"/>
    <col min="2" max="2" width="11.8888888888889" style="2"/>
    <col min="3" max="3" width="14" style="1" customWidth="1"/>
    <col min="4" max="4" width="12.6296296296296" style="2"/>
    <col min="5" max="5" width="13.6296296296296" style="1" customWidth="1"/>
    <col min="6" max="6" width="12.6296296296296" style="2"/>
    <col min="7" max="7" width="9" style="1"/>
    <col min="8" max="8" width="25.2222222222222" style="1" customWidth="1"/>
    <col min="9" max="9" width="13" style="1" customWidth="1"/>
    <col min="10" max="16384" width="9" style="1"/>
  </cols>
  <sheetData>
    <row r="1" ht="67.2" spans="1:6">
      <c r="A1" s="3" t="s">
        <v>0</v>
      </c>
      <c r="B1" s="4" t="s">
        <v>1</v>
      </c>
      <c r="C1" s="5" t="s">
        <v>2</v>
      </c>
      <c r="D1" s="4" t="s">
        <v>3</v>
      </c>
      <c r="E1" s="5" t="s">
        <v>4</v>
      </c>
      <c r="F1" s="6" t="s">
        <v>5</v>
      </c>
    </row>
    <row r="2" ht="28.8" spans="2:11">
      <c r="B2" s="4" t="s">
        <v>6</v>
      </c>
      <c r="C2" s="5" t="s">
        <v>7</v>
      </c>
      <c r="D2" s="4" t="s">
        <v>8</v>
      </c>
      <c r="E2" s="5" t="s">
        <v>9</v>
      </c>
      <c r="F2" s="4" t="s">
        <v>10</v>
      </c>
      <c r="H2" s="7" t="s">
        <v>11</v>
      </c>
      <c r="I2" s="7" t="s">
        <v>12</v>
      </c>
      <c r="J2" s="12"/>
      <c r="K2" s="12"/>
    </row>
    <row r="3" spans="2:9">
      <c r="B3" s="8">
        <v>250000</v>
      </c>
      <c r="C3" s="7">
        <v>1</v>
      </c>
      <c r="D3" s="9">
        <f>B3*15.4%/12</f>
        <v>3208.33333333333</v>
      </c>
      <c r="E3" s="10">
        <v>9083.31</v>
      </c>
      <c r="F3" s="9">
        <f>E3-D3</f>
        <v>5874.97666666667</v>
      </c>
      <c r="H3" s="7" t="s">
        <v>13</v>
      </c>
      <c r="I3" s="7"/>
    </row>
    <row r="4" spans="2:9">
      <c r="B4" s="9">
        <f>B3-F3</f>
        <v>244125.023333333</v>
      </c>
      <c r="C4" s="7">
        <v>2</v>
      </c>
      <c r="D4" s="9">
        <f t="shared" ref="D4:D22" si="0">B4*15.4%/12</f>
        <v>3132.93779944444</v>
      </c>
      <c r="E4" s="11">
        <f>$E$3</f>
        <v>9083.31</v>
      </c>
      <c r="F4" s="9">
        <f t="shared" ref="F4:F22" si="1">E4-D4</f>
        <v>5950.37220055556</v>
      </c>
      <c r="H4" s="7" t="s">
        <v>14</v>
      </c>
      <c r="I4" s="7" t="s">
        <v>15</v>
      </c>
    </row>
    <row r="5" spans="2:9">
      <c r="B5" s="9">
        <f t="shared" ref="B5:B22" si="2">B4-F4</f>
        <v>238174.651132778</v>
      </c>
      <c r="C5" s="7">
        <v>3</v>
      </c>
      <c r="D5" s="9">
        <f t="shared" si="0"/>
        <v>3056.57468953732</v>
      </c>
      <c r="E5" s="11">
        <f t="shared" ref="E5:E14" si="3">$E$3</f>
        <v>9083.31</v>
      </c>
      <c r="F5" s="9">
        <f t="shared" si="1"/>
        <v>6026.73531046268</v>
      </c>
      <c r="H5" s="7" t="s">
        <v>16</v>
      </c>
      <c r="I5" s="7"/>
    </row>
    <row r="6" spans="2:9">
      <c r="B6" s="9">
        <f t="shared" si="2"/>
        <v>232147.915822315</v>
      </c>
      <c r="C6" s="7">
        <v>4</v>
      </c>
      <c r="D6" s="9">
        <f t="shared" si="0"/>
        <v>2979.23158638638</v>
      </c>
      <c r="E6" s="11">
        <f t="shared" si="3"/>
        <v>9083.31</v>
      </c>
      <c r="F6" s="9">
        <f t="shared" si="1"/>
        <v>6104.07841361362</v>
      </c>
      <c r="H6" s="7" t="s">
        <v>17</v>
      </c>
      <c r="I6" s="7"/>
    </row>
    <row r="7" spans="2:9">
      <c r="B7" s="9">
        <f t="shared" si="2"/>
        <v>226043.837408701</v>
      </c>
      <c r="C7" s="7">
        <v>5</v>
      </c>
      <c r="D7" s="9">
        <f t="shared" si="0"/>
        <v>2900.89591341167</v>
      </c>
      <c r="E7" s="11">
        <f t="shared" si="3"/>
        <v>9083.31</v>
      </c>
      <c r="F7" s="9">
        <f t="shared" si="1"/>
        <v>6182.41408658833</v>
      </c>
      <c r="H7" s="7" t="s">
        <v>18</v>
      </c>
      <c r="I7" s="7"/>
    </row>
    <row r="8" spans="2:6">
      <c r="B8" s="9">
        <f t="shared" si="2"/>
        <v>219861.423322113</v>
      </c>
      <c r="C8" s="7">
        <v>6</v>
      </c>
      <c r="D8" s="9">
        <f t="shared" si="0"/>
        <v>2821.55493263379</v>
      </c>
      <c r="E8" s="11">
        <f t="shared" si="3"/>
        <v>9083.31</v>
      </c>
      <c r="F8" s="9">
        <f t="shared" si="1"/>
        <v>6261.75506736621</v>
      </c>
    </row>
    <row r="9" spans="2:6">
      <c r="B9" s="9">
        <f t="shared" si="2"/>
        <v>213599.668254747</v>
      </c>
      <c r="C9" s="7">
        <v>7</v>
      </c>
      <c r="D9" s="9">
        <f t="shared" si="0"/>
        <v>2741.19574260259</v>
      </c>
      <c r="E9" s="11">
        <f t="shared" si="3"/>
        <v>9083.31</v>
      </c>
      <c r="F9" s="9">
        <f t="shared" si="1"/>
        <v>6342.11425739741</v>
      </c>
    </row>
    <row r="10" spans="2:6">
      <c r="B10" s="9">
        <f t="shared" si="2"/>
        <v>207257.55399735</v>
      </c>
      <c r="C10" s="7">
        <v>8</v>
      </c>
      <c r="D10" s="9">
        <f t="shared" si="0"/>
        <v>2659.80527629932</v>
      </c>
      <c r="E10" s="11">
        <f t="shared" si="3"/>
        <v>9083.31</v>
      </c>
      <c r="F10" s="9">
        <f t="shared" si="1"/>
        <v>6423.50472370068</v>
      </c>
    </row>
    <row r="11" spans="2:6">
      <c r="B11" s="9">
        <f t="shared" si="2"/>
        <v>200834.049273649</v>
      </c>
      <c r="C11" s="7">
        <v>9</v>
      </c>
      <c r="D11" s="9">
        <f t="shared" si="0"/>
        <v>2577.37029901183</v>
      </c>
      <c r="E11" s="11">
        <f t="shared" si="3"/>
        <v>9083.31</v>
      </c>
      <c r="F11" s="9">
        <f t="shared" si="1"/>
        <v>6505.93970098817</v>
      </c>
    </row>
    <row r="12" spans="2:6">
      <c r="B12" s="9">
        <f t="shared" si="2"/>
        <v>194328.109572661</v>
      </c>
      <c r="C12" s="7">
        <v>10</v>
      </c>
      <c r="D12" s="9">
        <f t="shared" si="0"/>
        <v>2493.87740618248</v>
      </c>
      <c r="E12" s="11">
        <f t="shared" si="3"/>
        <v>9083.31</v>
      </c>
      <c r="F12" s="9">
        <f t="shared" si="1"/>
        <v>6589.43259381752</v>
      </c>
    </row>
    <row r="13" spans="2:6">
      <c r="B13" s="9">
        <f t="shared" si="2"/>
        <v>187738.676978843</v>
      </c>
      <c r="C13" s="7">
        <v>11</v>
      </c>
      <c r="D13" s="9">
        <f t="shared" si="0"/>
        <v>2409.31302122849</v>
      </c>
      <c r="E13" s="11">
        <f t="shared" si="3"/>
        <v>9083.31</v>
      </c>
      <c r="F13" s="9">
        <f t="shared" si="1"/>
        <v>6673.99697877151</v>
      </c>
    </row>
    <row r="14" spans="2:6">
      <c r="B14" s="9">
        <f t="shared" si="2"/>
        <v>181064.680000072</v>
      </c>
      <c r="C14" s="7">
        <v>12</v>
      </c>
      <c r="D14" s="9">
        <f t="shared" si="0"/>
        <v>2323.66339333425</v>
      </c>
      <c r="E14" s="11">
        <f t="shared" si="3"/>
        <v>9083.31</v>
      </c>
      <c r="F14" s="9">
        <f t="shared" si="1"/>
        <v>6759.64660666575</v>
      </c>
    </row>
    <row r="15" spans="2:6">
      <c r="B15" s="9">
        <f t="shared" si="2"/>
        <v>174305.033393406</v>
      </c>
      <c r="C15" s="7">
        <v>13</v>
      </c>
      <c r="D15" s="9">
        <f t="shared" si="0"/>
        <v>2236.91459521537</v>
      </c>
      <c r="E15" s="11">
        <f t="shared" ref="E15:E24" si="4">$E$3</f>
        <v>9083.31</v>
      </c>
      <c r="F15" s="9">
        <f t="shared" si="1"/>
        <v>6846.39540478462</v>
      </c>
    </row>
    <row r="16" spans="2:6">
      <c r="B16" s="9">
        <f t="shared" si="2"/>
        <v>167458.637988621</v>
      </c>
      <c r="C16" s="7">
        <v>14</v>
      </c>
      <c r="D16" s="9">
        <f t="shared" si="0"/>
        <v>2149.05252085397</v>
      </c>
      <c r="E16" s="11">
        <f t="shared" si="4"/>
        <v>9083.31</v>
      </c>
      <c r="F16" s="9">
        <f t="shared" si="1"/>
        <v>6934.25747914603</v>
      </c>
    </row>
    <row r="17" spans="2:6">
      <c r="B17" s="9">
        <f t="shared" si="2"/>
        <v>160524.380509475</v>
      </c>
      <c r="C17" s="7">
        <v>15</v>
      </c>
      <c r="D17" s="9">
        <f t="shared" si="0"/>
        <v>2060.06288320493</v>
      </c>
      <c r="E17" s="11">
        <f t="shared" si="4"/>
        <v>9083.31</v>
      </c>
      <c r="F17" s="9">
        <f t="shared" si="1"/>
        <v>7023.24711679507</v>
      </c>
    </row>
    <row r="18" spans="2:6">
      <c r="B18" s="9">
        <f t="shared" si="2"/>
        <v>153501.13339268</v>
      </c>
      <c r="C18" s="7">
        <v>16</v>
      </c>
      <c r="D18" s="9">
        <f t="shared" si="0"/>
        <v>1969.93121187273</v>
      </c>
      <c r="E18" s="11">
        <f t="shared" si="4"/>
        <v>9083.31</v>
      </c>
      <c r="F18" s="9">
        <f t="shared" si="1"/>
        <v>7113.37878812727</v>
      </c>
    </row>
    <row r="19" spans="2:6">
      <c r="B19" s="9">
        <f t="shared" si="2"/>
        <v>146387.754604553</v>
      </c>
      <c r="C19" s="7">
        <v>17</v>
      </c>
      <c r="D19" s="9">
        <f t="shared" si="0"/>
        <v>1878.64285075843</v>
      </c>
      <c r="E19" s="11">
        <f t="shared" si="4"/>
        <v>9083.31</v>
      </c>
      <c r="F19" s="9">
        <f t="shared" si="1"/>
        <v>7204.66714924157</v>
      </c>
    </row>
    <row r="20" spans="2:6">
      <c r="B20" s="9">
        <f t="shared" si="2"/>
        <v>139183.087455311</v>
      </c>
      <c r="C20" s="7">
        <v>18</v>
      </c>
      <c r="D20" s="9">
        <f t="shared" si="0"/>
        <v>1786.18295567649</v>
      </c>
      <c r="E20" s="11">
        <f t="shared" si="4"/>
        <v>9083.31</v>
      </c>
      <c r="F20" s="9">
        <f t="shared" si="1"/>
        <v>7297.12704432351</v>
      </c>
    </row>
    <row r="21" spans="2:6">
      <c r="B21" s="9">
        <f t="shared" si="2"/>
        <v>131885.960410988</v>
      </c>
      <c r="C21" s="7">
        <v>19</v>
      </c>
      <c r="D21" s="9">
        <f t="shared" si="0"/>
        <v>1692.53649194101</v>
      </c>
      <c r="E21" s="11">
        <f t="shared" si="4"/>
        <v>9083.31</v>
      </c>
      <c r="F21" s="9">
        <f t="shared" si="1"/>
        <v>7390.77350805899</v>
      </c>
    </row>
    <row r="22" spans="2:6">
      <c r="B22" s="9">
        <f t="shared" si="2"/>
        <v>124495.186902929</v>
      </c>
      <c r="C22" s="7">
        <v>20</v>
      </c>
      <c r="D22" s="9">
        <f t="shared" si="0"/>
        <v>1597.68823192092</v>
      </c>
      <c r="E22" s="11">
        <f t="shared" si="4"/>
        <v>9083.31</v>
      </c>
      <c r="F22" s="9">
        <f t="shared" si="1"/>
        <v>7485.62176807908</v>
      </c>
    </row>
    <row r="23" spans="2:6">
      <c r="B23" s="9">
        <f t="shared" ref="B23:B38" si="5">B22-F22</f>
        <v>117009.56513485</v>
      </c>
      <c r="C23" s="7">
        <v>21</v>
      </c>
      <c r="D23" s="9">
        <f t="shared" ref="D23:D38" si="6">B23*15.4%/12</f>
        <v>1501.6227525639</v>
      </c>
      <c r="E23" s="11">
        <f t="shared" si="4"/>
        <v>9083.31</v>
      </c>
      <c r="F23" s="9">
        <f t="shared" ref="F23:F38" si="7">E23-D23</f>
        <v>7581.6872474361</v>
      </c>
    </row>
    <row r="24" spans="2:6">
      <c r="B24" s="9">
        <f t="shared" si="5"/>
        <v>109427.877887414</v>
      </c>
      <c r="C24" s="7">
        <v>22</v>
      </c>
      <c r="D24" s="9">
        <f t="shared" si="6"/>
        <v>1404.32443288847</v>
      </c>
      <c r="E24" s="11">
        <f t="shared" si="4"/>
        <v>9083.31</v>
      </c>
      <c r="F24" s="9">
        <f t="shared" si="7"/>
        <v>7678.98556711153</v>
      </c>
    </row>
    <row r="25" spans="2:6">
      <c r="B25" s="9">
        <f t="shared" si="5"/>
        <v>101748.892320302</v>
      </c>
      <c r="C25" s="7">
        <v>23</v>
      </c>
      <c r="D25" s="9">
        <f t="shared" si="6"/>
        <v>1305.77745144388</v>
      </c>
      <c r="E25" s="11">
        <f t="shared" ref="E25:E38" si="8">$E$3</f>
        <v>9083.31</v>
      </c>
      <c r="F25" s="9">
        <f t="shared" si="7"/>
        <v>7777.53254855612</v>
      </c>
    </row>
    <row r="26" spans="2:6">
      <c r="B26" s="9">
        <f t="shared" si="5"/>
        <v>93971.3597717459</v>
      </c>
      <c r="C26" s="7">
        <v>24</v>
      </c>
      <c r="D26" s="9">
        <f t="shared" si="6"/>
        <v>1205.96578373741</v>
      </c>
      <c r="E26" s="11">
        <f t="shared" si="8"/>
        <v>9083.31</v>
      </c>
      <c r="F26" s="9">
        <f t="shared" si="7"/>
        <v>7877.34421626259</v>
      </c>
    </row>
    <row r="27" spans="2:6">
      <c r="B27" s="9">
        <f t="shared" si="5"/>
        <v>86094.0155554833</v>
      </c>
      <c r="C27" s="7">
        <v>25</v>
      </c>
      <c r="D27" s="9">
        <f t="shared" si="6"/>
        <v>1104.8731996287</v>
      </c>
      <c r="E27" s="11">
        <f t="shared" si="8"/>
        <v>9083.31</v>
      </c>
      <c r="F27" s="9">
        <f t="shared" si="7"/>
        <v>7978.4368003713</v>
      </c>
    </row>
    <row r="28" spans="2:6">
      <c r="B28" s="9">
        <f t="shared" si="5"/>
        <v>78115.578755112</v>
      </c>
      <c r="C28" s="7">
        <v>26</v>
      </c>
      <c r="D28" s="9">
        <f t="shared" si="6"/>
        <v>1002.4832606906</v>
      </c>
      <c r="E28" s="11">
        <f t="shared" si="8"/>
        <v>9083.31</v>
      </c>
      <c r="F28" s="9">
        <f t="shared" si="7"/>
        <v>8080.82673930939</v>
      </c>
    </row>
    <row r="29" spans="2:6">
      <c r="B29" s="9">
        <f t="shared" si="5"/>
        <v>70034.7520158026</v>
      </c>
      <c r="C29" s="7">
        <v>27</v>
      </c>
      <c r="D29" s="9">
        <f t="shared" si="6"/>
        <v>898.779317536134</v>
      </c>
      <c r="E29" s="11">
        <f t="shared" si="8"/>
        <v>9083.31</v>
      </c>
      <c r="F29" s="9">
        <f t="shared" si="7"/>
        <v>8184.53068246387</v>
      </c>
    </row>
    <row r="30" spans="2:6">
      <c r="B30" s="9">
        <f t="shared" si="5"/>
        <v>61850.2213333388</v>
      </c>
      <c r="C30" s="7">
        <v>28</v>
      </c>
      <c r="D30" s="9">
        <f t="shared" si="6"/>
        <v>793.744507111181</v>
      </c>
      <c r="E30" s="11">
        <f t="shared" si="8"/>
        <v>9083.31</v>
      </c>
      <c r="F30" s="9">
        <f t="shared" si="7"/>
        <v>8289.56549288882</v>
      </c>
    </row>
    <row r="31" spans="2:6">
      <c r="B31" s="9">
        <f t="shared" si="5"/>
        <v>53560.65584045</v>
      </c>
      <c r="C31" s="7">
        <v>29</v>
      </c>
      <c r="D31" s="9">
        <f t="shared" si="6"/>
        <v>687.361749952441</v>
      </c>
      <c r="E31" s="11">
        <f t="shared" si="8"/>
        <v>9083.31</v>
      </c>
      <c r="F31" s="9">
        <f t="shared" si="7"/>
        <v>8395.94825004756</v>
      </c>
    </row>
    <row r="32" spans="2:6">
      <c r="B32" s="9">
        <f t="shared" si="5"/>
        <v>45164.7075904024</v>
      </c>
      <c r="C32" s="7">
        <v>30</v>
      </c>
      <c r="D32" s="9">
        <f t="shared" si="6"/>
        <v>579.613747410164</v>
      </c>
      <c r="E32" s="11">
        <f t="shared" si="8"/>
        <v>9083.31</v>
      </c>
      <c r="F32" s="9">
        <f t="shared" si="7"/>
        <v>8503.69625258984</v>
      </c>
    </row>
    <row r="33" spans="2:6">
      <c r="B33" s="9">
        <f t="shared" si="5"/>
        <v>36661.0113378126</v>
      </c>
      <c r="C33" s="7">
        <v>31</v>
      </c>
      <c r="D33" s="9">
        <f t="shared" si="6"/>
        <v>470.482978835261</v>
      </c>
      <c r="E33" s="11">
        <f t="shared" si="8"/>
        <v>9083.31</v>
      </c>
      <c r="F33" s="9">
        <f t="shared" si="7"/>
        <v>8612.82702116474</v>
      </c>
    </row>
    <row r="34" spans="2:6">
      <c r="B34" s="9">
        <f t="shared" si="5"/>
        <v>28048.1843166478</v>
      </c>
      <c r="C34" s="7">
        <v>32</v>
      </c>
      <c r="D34" s="9">
        <f t="shared" si="6"/>
        <v>359.951698730314</v>
      </c>
      <c r="E34" s="11">
        <f t="shared" si="8"/>
        <v>9083.31</v>
      </c>
      <c r="F34" s="9">
        <f t="shared" si="7"/>
        <v>8723.35830126969</v>
      </c>
    </row>
    <row r="35" spans="2:6">
      <c r="B35" s="9">
        <f t="shared" si="5"/>
        <v>19324.8260153781</v>
      </c>
      <c r="C35" s="7">
        <v>33</v>
      </c>
      <c r="D35" s="9">
        <f t="shared" si="6"/>
        <v>248.00193386402</v>
      </c>
      <c r="E35" s="11">
        <f t="shared" si="8"/>
        <v>9083.31</v>
      </c>
      <c r="F35" s="9">
        <f t="shared" si="7"/>
        <v>8835.30806613598</v>
      </c>
    </row>
    <row r="36" spans="2:6">
      <c r="B36" s="9">
        <f t="shared" si="5"/>
        <v>10489.5179492422</v>
      </c>
      <c r="C36" s="7">
        <v>34</v>
      </c>
      <c r="D36" s="9">
        <f t="shared" si="6"/>
        <v>134.615480348608</v>
      </c>
      <c r="E36" s="11">
        <f t="shared" si="8"/>
        <v>9083.31</v>
      </c>
      <c r="F36" s="9">
        <f t="shared" si="7"/>
        <v>8948.69451965139</v>
      </c>
    </row>
    <row r="37" spans="2:6">
      <c r="B37" s="9">
        <f t="shared" si="5"/>
        <v>1540.82342959077</v>
      </c>
      <c r="C37" s="7">
        <v>35</v>
      </c>
      <c r="D37" s="9">
        <f t="shared" si="6"/>
        <v>19.7739006797483</v>
      </c>
      <c r="E37" s="11">
        <f t="shared" si="8"/>
        <v>9083.31</v>
      </c>
      <c r="F37" s="9">
        <f t="shared" si="7"/>
        <v>9063.53609932025</v>
      </c>
    </row>
    <row r="38" spans="2:6">
      <c r="B38" s="9">
        <f t="shared" si="5"/>
        <v>-7522.71266972948</v>
      </c>
      <c r="C38" s="7">
        <v>36</v>
      </c>
      <c r="D38" s="9">
        <f t="shared" si="6"/>
        <v>-96.5414792615283</v>
      </c>
      <c r="E38" s="11">
        <f t="shared" si="8"/>
        <v>9083.31</v>
      </c>
      <c r="F38" s="9">
        <f t="shared" si="7"/>
        <v>9179.85147926153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yymcc</cp:lastModifiedBy>
  <dcterms:created xsi:type="dcterms:W3CDTF">2020-09-30T02:40:00Z</dcterms:created>
  <dcterms:modified xsi:type="dcterms:W3CDTF">2020-09-30T09:53:44Z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2052-11.1.0.9999</vt:lpwstr>
  </property>
</Properties>
</file>