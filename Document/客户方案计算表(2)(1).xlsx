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<sst xmlns="http://schemas.openxmlformats.org/spreadsheetml/2006/main" count="21" uniqueCount="21">
  <si>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</si>
  <si>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</si>
  <si>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还款期数与签订合同保持一致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</si>
  <si>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计息本金*15.4%/12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</si>
  <si>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此列需要手动填写</t>
    </r>
  </si>
  <si>
    <t>此列为公式
不要修改</t>
  </si>
  <si>
    <t>计息本金</t>
  </si>
  <si>
    <t>还款期数
（合同）</t>
  </si>
  <si>
    <t>应还利息金额</t>
  </si>
  <si>
    <t>还款金额</t>
  </si>
  <si>
    <t>应抵本金</t>
  </si>
  <si>
    <t>数值对应关系</t>
  </si>
  <si>
    <t>解释</t>
  </si>
  <si>
    <t>计息本金=客户实际到账本金，不包含砍头息</t>
  </si>
  <si>
    <t>应还利息=计息本金*15.4%/12</t>
  </si>
  <si>
    <t>每个月客户按15.4%应该还的利息</t>
  </si>
  <si>
    <t>还款金额=合同约定还款金额</t>
  </si>
  <si>
    <t>应抵本金=还款金额-应还利息金额</t>
  </si>
  <si>
    <t>第二期计息本金=客户实际到账本金-应抵本金</t>
  </si>
  <si>
    <t>最大减免</t>
  </si>
  <si>
    <t xml:space="preserve">合同金额180000 -本金100000 -36期利息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</si>
</sst>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topLeftCell="A4" workbookViewId="0">
      <selection activeCell="I17" sqref="I17"/>
    </sheetView>
  </sheetViews>
  <sheetFormatPr defaultColWidth="9" defaultRowHeight="14.4"/>
  <cols>
    <col min="1" max="1" width="9" style="1"/>
    <col min="2" max="2" width="11.8888888888889" style="2"/>
    <col min="3" max="3" width="14" style="1" customWidth="1"/>
    <col min="4" max="4" width="12.6296296296296" style="2"/>
    <col min="5" max="5" width="13.6296296296296" style="1" customWidth="1"/>
    <col min="6" max="6" width="12.6296296296296" style="2"/>
    <col min="7" max="7" width="9" style="1"/>
    <col min="8" max="8" width="25.2222222222222" style="1" customWidth="1"/>
    <col min="9" max="9" width="13" style="1" customWidth="1"/>
    <col min="10" max="16384" width="9" style="1"/>
  </cols>
  <sheetData>
    <row r="1" ht="67.2" spans="1:6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</row>
    <row r="2" ht="28.8" spans="2:11">
      <c r="B2" s="4" t="s">
        <v>6</v>
      </c>
      <c r="C2" s="5" t="s">
        <v>7</v>
      </c>
      <c r="D2" s="4" t="s">
        <v>8</v>
      </c>
      <c r="E2" s="5" t="s">
        <v>9</v>
      </c>
      <c r="F2" s="4" t="s">
        <v>10</v>
      </c>
      <c r="H2" s="7" t="s">
        <v>11</v>
      </c>
      <c r="I2" s="7" t="s">
        <v>12</v>
      </c>
      <c r="J2" s="12"/>
      <c r="K2" s="12"/>
    </row>
    <row r="3" ht="28.8" spans="2:9">
      <c r="B3" s="8">
        <v>100000</v>
      </c>
      <c r="C3" s="7">
        <v>1</v>
      </c>
      <c r="D3" s="9">
        <f>B3*15.4%/12</f>
        <v>1283.33333333333</v>
      </c>
      <c r="E3" s="10">
        <v>5000</v>
      </c>
      <c r="F3" s="9">
        <f>E3-D3</f>
        <v>3716.66666666667</v>
      </c>
      <c r="H3" s="7" t="s">
        <v>13</v>
      </c>
      <c r="I3" s="7"/>
    </row>
    <row r="4" ht="43.2" spans="2:9">
      <c r="B4" s="9">
        <f>B3-F3</f>
        <v>96283.3333333333</v>
      </c>
      <c r="C4" s="7">
        <v>2</v>
      </c>
      <c r="D4" s="9">
        <f t="shared" ref="D4:D22" si="0">B4*15.4%/12</f>
        <v>1235.63611111111</v>
      </c>
      <c r="E4" s="11">
        <f>$E$3</f>
        <v>5000</v>
      </c>
      <c r="F4" s="9">
        <f t="shared" ref="F4:F22" si="1">E4-D4</f>
        <v>3764.36388888889</v>
      </c>
      <c r="H4" s="7" t="s">
        <v>14</v>
      </c>
      <c r="I4" s="7" t="s">
        <v>15</v>
      </c>
    </row>
    <row r="5" ht="28.8" spans="2:9">
      <c r="B5" s="9">
        <f t="shared" ref="B5:B22" si="2">B4-F4</f>
        <v>92518.9694444444</v>
      </c>
      <c r="C5" s="7">
        <v>3</v>
      </c>
      <c r="D5" s="9">
        <f t="shared" si="0"/>
        <v>1187.32677453704</v>
      </c>
      <c r="E5" s="11">
        <f t="shared" ref="E5:E14" si="3">$E$3</f>
        <v>5000</v>
      </c>
      <c r="F5" s="9">
        <f t="shared" si="1"/>
        <v>3812.67322546296</v>
      </c>
      <c r="H5" s="7" t="s">
        <v>16</v>
      </c>
      <c r="I5" s="7"/>
    </row>
    <row r="6" ht="28.8" spans="2:9">
      <c r="B6" s="9">
        <f t="shared" si="2"/>
        <v>88706.2962189815</v>
      </c>
      <c r="C6" s="7">
        <v>4</v>
      </c>
      <c r="D6" s="9">
        <f t="shared" si="0"/>
        <v>1138.3974681436</v>
      </c>
      <c r="E6" s="11">
        <f t="shared" si="3"/>
        <v>5000</v>
      </c>
      <c r="F6" s="9">
        <f t="shared" si="1"/>
        <v>3861.6025318564</v>
      </c>
      <c r="H6" s="7" t="s">
        <v>17</v>
      </c>
      <c r="I6" s="7"/>
    </row>
    <row r="7" ht="28.8" spans="2:9">
      <c r="B7" s="9">
        <f t="shared" si="2"/>
        <v>84844.6936871251</v>
      </c>
      <c r="C7" s="7">
        <v>5</v>
      </c>
      <c r="D7" s="9">
        <f t="shared" si="0"/>
        <v>1088.84023565144</v>
      </c>
      <c r="E7" s="11">
        <f t="shared" si="3"/>
        <v>5000</v>
      </c>
      <c r="F7" s="9">
        <f t="shared" si="1"/>
        <v>3911.15976434856</v>
      </c>
      <c r="H7" s="7" t="s">
        <v>18</v>
      </c>
      <c r="I7" s="7"/>
    </row>
    <row r="8" spans="2:6">
      <c r="B8" s="9">
        <f t="shared" si="2"/>
        <v>80933.5339227765</v>
      </c>
      <c r="C8" s="7">
        <v>6</v>
      </c>
      <c r="D8" s="9">
        <f t="shared" si="0"/>
        <v>1038.64701867563</v>
      </c>
      <c r="E8" s="11">
        <f t="shared" si="3"/>
        <v>5000</v>
      </c>
      <c r="F8" s="9">
        <f t="shared" si="1"/>
        <v>3961.35298132437</v>
      </c>
    </row>
    <row r="9" spans="2:6">
      <c r="B9" s="9">
        <f t="shared" si="2"/>
        <v>76972.1809414521</v>
      </c>
      <c r="C9" s="7">
        <v>7</v>
      </c>
      <c r="D9" s="9">
        <f t="shared" si="0"/>
        <v>987.809655415302</v>
      </c>
      <c r="E9" s="11">
        <f t="shared" si="3"/>
        <v>5000</v>
      </c>
      <c r="F9" s="9">
        <f t="shared" si="1"/>
        <v>4012.1903445847</v>
      </c>
    </row>
    <row r="10" spans="2:6">
      <c r="B10" s="9">
        <f t="shared" si="2"/>
        <v>72959.9905968674</v>
      </c>
      <c r="C10" s="7">
        <v>8</v>
      </c>
      <c r="D10" s="9">
        <f t="shared" si="0"/>
        <v>936.319879326466</v>
      </c>
      <c r="E10" s="11">
        <f t="shared" si="3"/>
        <v>5000</v>
      </c>
      <c r="F10" s="9">
        <f t="shared" si="1"/>
        <v>4063.68012067353</v>
      </c>
    </row>
    <row r="11" spans="2:6">
      <c r="B11" s="9">
        <f t="shared" si="2"/>
        <v>68896.3104761939</v>
      </c>
      <c r="C11" s="7">
        <v>9</v>
      </c>
      <c r="D11" s="9">
        <f t="shared" si="0"/>
        <v>884.169317777822</v>
      </c>
      <c r="E11" s="11">
        <f t="shared" si="3"/>
        <v>5000</v>
      </c>
      <c r="F11" s="9">
        <f t="shared" si="1"/>
        <v>4115.83068222218</v>
      </c>
    </row>
    <row r="12" spans="2:6">
      <c r="B12" s="9">
        <f t="shared" si="2"/>
        <v>64780.4797939717</v>
      </c>
      <c r="C12" s="7">
        <v>10</v>
      </c>
      <c r="D12" s="9">
        <f t="shared" si="0"/>
        <v>831.349490689304</v>
      </c>
      <c r="E12" s="11">
        <f t="shared" si="3"/>
        <v>5000</v>
      </c>
      <c r="F12" s="9">
        <f t="shared" si="1"/>
        <v>4168.6505093107</v>
      </c>
    </row>
    <row r="13" spans="2:6">
      <c r="B13" s="9">
        <f t="shared" si="2"/>
        <v>60611.829284661</v>
      </c>
      <c r="C13" s="7">
        <v>11</v>
      </c>
      <c r="D13" s="9">
        <f t="shared" si="0"/>
        <v>777.85180915315</v>
      </c>
      <c r="E13" s="11">
        <f t="shared" si="3"/>
        <v>5000</v>
      </c>
      <c r="F13" s="9">
        <f t="shared" si="1"/>
        <v>4222.14819084685</v>
      </c>
    </row>
    <row r="14" spans="2:6">
      <c r="B14" s="9">
        <f t="shared" si="2"/>
        <v>56389.6810938142</v>
      </c>
      <c r="C14" s="7">
        <v>12</v>
      </c>
      <c r="D14" s="9">
        <f t="shared" si="0"/>
        <v>723.667574037282</v>
      </c>
      <c r="E14" s="11">
        <f t="shared" si="3"/>
        <v>5000</v>
      </c>
      <c r="F14" s="9">
        <f t="shared" si="1"/>
        <v>4276.33242596272</v>
      </c>
    </row>
    <row r="15" spans="2:6">
      <c r="B15" s="9">
        <f t="shared" si="2"/>
        <v>52113.3486678515</v>
      </c>
      <c r="C15" s="7">
        <v>13</v>
      </c>
      <c r="D15" s="9">
        <f t="shared" si="0"/>
        <v>668.78797457076</v>
      </c>
      <c r="E15" s="11">
        <f t="shared" ref="E15:E24" si="4">$E$3</f>
        <v>5000</v>
      </c>
      <c r="F15" s="9">
        <f t="shared" si="1"/>
        <v>4331.21202542924</v>
      </c>
    </row>
    <row r="16" spans="2:6">
      <c r="B16" s="9">
        <f t="shared" si="2"/>
        <v>47782.1366424222</v>
      </c>
      <c r="C16" s="7">
        <v>14</v>
      </c>
      <c r="D16" s="9">
        <f t="shared" si="0"/>
        <v>613.204086911085</v>
      </c>
      <c r="E16" s="11">
        <f t="shared" si="4"/>
        <v>5000</v>
      </c>
      <c r="F16" s="9">
        <f t="shared" si="1"/>
        <v>4386.79591308891</v>
      </c>
    </row>
    <row r="17" spans="2:6">
      <c r="B17" s="9">
        <f t="shared" si="2"/>
        <v>43395.3407293333</v>
      </c>
      <c r="C17" s="7">
        <v>15</v>
      </c>
      <c r="D17" s="9">
        <f t="shared" si="0"/>
        <v>556.906872693111</v>
      </c>
      <c r="E17" s="11">
        <f t="shared" si="4"/>
        <v>5000</v>
      </c>
      <c r="F17" s="9">
        <f t="shared" si="1"/>
        <v>4443.09312730689</v>
      </c>
    </row>
    <row r="18" spans="2:6">
      <c r="B18" s="9">
        <f t="shared" si="2"/>
        <v>38952.2476020264</v>
      </c>
      <c r="C18" s="7">
        <v>16</v>
      </c>
      <c r="D18" s="9">
        <f t="shared" si="0"/>
        <v>499.887177559339</v>
      </c>
      <c r="E18" s="11">
        <f t="shared" si="4"/>
        <v>5000</v>
      </c>
      <c r="F18" s="9">
        <f t="shared" si="1"/>
        <v>4500.11282244066</v>
      </c>
    </row>
    <row r="19" spans="2:6">
      <c r="B19" s="9">
        <f t="shared" si="2"/>
        <v>34452.1347795858</v>
      </c>
      <c r="C19" s="7">
        <v>17</v>
      </c>
      <c r="D19" s="9">
        <f t="shared" si="0"/>
        <v>442.13572967135</v>
      </c>
      <c r="E19" s="11">
        <f t="shared" si="4"/>
        <v>5000</v>
      </c>
      <c r="F19" s="9">
        <f t="shared" si="1"/>
        <v>4557.86427032865</v>
      </c>
    </row>
    <row r="20" spans="2:6">
      <c r="B20" s="9">
        <f t="shared" si="2"/>
        <v>29894.2705092571</v>
      </c>
      <c r="C20" s="7">
        <v>18</v>
      </c>
      <c r="D20" s="9">
        <f t="shared" si="0"/>
        <v>383.643138202133</v>
      </c>
      <c r="E20" s="11">
        <f t="shared" si="4"/>
        <v>5000</v>
      </c>
      <c r="F20" s="9">
        <f t="shared" si="1"/>
        <v>4616.35686179787</v>
      </c>
    </row>
    <row r="21" spans="2:6">
      <c r="B21" s="9">
        <f t="shared" si="2"/>
        <v>25277.9136474592</v>
      </c>
      <c r="C21" s="7">
        <v>19</v>
      </c>
      <c r="D21" s="9">
        <f t="shared" si="0"/>
        <v>324.39989180906</v>
      </c>
      <c r="E21" s="11">
        <f t="shared" si="4"/>
        <v>5000</v>
      </c>
      <c r="F21" s="9">
        <f t="shared" si="1"/>
        <v>4675.60010819094</v>
      </c>
    </row>
    <row r="22" spans="2:6">
      <c r="B22" s="9">
        <f t="shared" si="2"/>
        <v>20602.3135392683</v>
      </c>
      <c r="C22" s="7">
        <v>20</v>
      </c>
      <c r="D22" s="9">
        <f t="shared" si="0"/>
        <v>264.396357087276</v>
      </c>
      <c r="E22" s="11">
        <f t="shared" si="4"/>
        <v>5000</v>
      </c>
      <c r="F22" s="9">
        <f t="shared" si="1"/>
        <v>4735.60364291272</v>
      </c>
    </row>
    <row r="23" spans="2:6">
      <c r="B23" s="9">
        <f t="shared" ref="B23:B38" si="5">B22-F22</f>
        <v>15866.7098963556</v>
      </c>
      <c r="C23" s="7">
        <v>21</v>
      </c>
      <c r="D23" s="9">
        <f t="shared" ref="D23:D38" si="6">B23*15.4%/12</f>
        <v>203.62277700323</v>
      </c>
      <c r="E23" s="11">
        <f t="shared" si="4"/>
        <v>5000</v>
      </c>
      <c r="F23" s="9">
        <f t="shared" ref="F23:F38" si="7">E23-D23</f>
        <v>4796.37722299677</v>
      </c>
    </row>
    <row r="24" spans="2:6">
      <c r="B24" s="9">
        <f t="shared" si="5"/>
        <v>11070.3326733588</v>
      </c>
      <c r="C24" s="7">
        <v>22</v>
      </c>
      <c r="D24" s="9">
        <f t="shared" si="6"/>
        <v>142.069269308105</v>
      </c>
      <c r="E24" s="11">
        <f t="shared" si="4"/>
        <v>5000</v>
      </c>
      <c r="F24" s="9">
        <f t="shared" si="7"/>
        <v>4857.9307306919</v>
      </c>
    </row>
    <row r="25" spans="2:6">
      <c r="B25" s="9">
        <f t="shared" si="5"/>
        <v>6212.40194266691</v>
      </c>
      <c r="C25" s="7">
        <v>23</v>
      </c>
      <c r="D25" s="9">
        <f t="shared" si="6"/>
        <v>79.725824930892</v>
      </c>
      <c r="E25" s="11">
        <f t="shared" ref="E25:E38" si="8">$E$3</f>
        <v>5000</v>
      </c>
      <c r="F25" s="9">
        <f t="shared" si="7"/>
        <v>4920.27417506911</v>
      </c>
    </row>
    <row r="26" spans="2:6">
      <c r="B26" s="9">
        <f t="shared" si="5"/>
        <v>1292.1277675978</v>
      </c>
      <c r="C26" s="7">
        <v>24</v>
      </c>
      <c r="D26" s="9">
        <f t="shared" si="6"/>
        <v>16.5823063508384</v>
      </c>
      <c r="E26" s="11">
        <f t="shared" si="8"/>
        <v>5000</v>
      </c>
      <c r="F26" s="9">
        <f t="shared" si="7"/>
        <v>4983.41769364916</v>
      </c>
    </row>
    <row r="27" spans="2:6">
      <c r="B27" s="9">
        <f t="shared" si="5"/>
        <v>-3691.28992605136</v>
      </c>
      <c r="C27" s="7">
        <v>25</v>
      </c>
      <c r="D27" s="9">
        <f t="shared" si="6"/>
        <v>-47.3715540509925</v>
      </c>
      <c r="E27" s="11">
        <f t="shared" si="8"/>
        <v>5000</v>
      </c>
      <c r="F27" s="9">
        <f t="shared" si="7"/>
        <v>5047.37155405099</v>
      </c>
    </row>
    <row r="28" spans="2:6">
      <c r="B28" s="9">
        <f t="shared" si="5"/>
        <v>-8738.66148010235</v>
      </c>
      <c r="C28" s="7">
        <v>26</v>
      </c>
      <c r="D28" s="9">
        <f t="shared" si="6"/>
        <v>-112.146155661314</v>
      </c>
      <c r="E28" s="11">
        <f t="shared" si="8"/>
        <v>5000</v>
      </c>
      <c r="F28" s="9">
        <f t="shared" si="7"/>
        <v>5112.14615566131</v>
      </c>
    </row>
    <row r="29" spans="2:6">
      <c r="B29" s="9">
        <f t="shared" si="5"/>
        <v>-13850.8076357637</v>
      </c>
      <c r="C29" s="7">
        <v>27</v>
      </c>
      <c r="D29" s="9">
        <f t="shared" si="6"/>
        <v>-177.752031325634</v>
      </c>
      <c r="E29" s="11">
        <f t="shared" si="8"/>
        <v>5000</v>
      </c>
      <c r="F29" s="9">
        <f t="shared" si="7"/>
        <v>5177.75203132563</v>
      </c>
    </row>
    <row r="30" spans="2:6">
      <c r="B30" s="9">
        <f t="shared" si="5"/>
        <v>-19028.5596670893</v>
      </c>
      <c r="C30" s="7">
        <v>28</v>
      </c>
      <c r="D30" s="9">
        <f t="shared" si="6"/>
        <v>-244.199849060979</v>
      </c>
      <c r="E30" s="11">
        <f t="shared" si="8"/>
        <v>5000</v>
      </c>
      <c r="F30" s="9">
        <f t="shared" si="7"/>
        <v>5244.19984906098</v>
      </c>
    </row>
    <row r="31" spans="2:6">
      <c r="B31" s="9">
        <f t="shared" si="5"/>
        <v>-24272.7595161503</v>
      </c>
      <c r="C31" s="7">
        <v>29</v>
      </c>
      <c r="D31" s="9">
        <f t="shared" si="6"/>
        <v>-311.500413790595</v>
      </c>
      <c r="E31" s="11">
        <f t="shared" si="8"/>
        <v>5000</v>
      </c>
      <c r="F31" s="9">
        <f t="shared" si="7"/>
        <v>5311.5004137906</v>
      </c>
    </row>
    <row r="32" spans="2:6">
      <c r="B32" s="9">
        <f t="shared" si="5"/>
        <v>-29584.2599299409</v>
      </c>
      <c r="C32" s="7">
        <v>30</v>
      </c>
      <c r="D32" s="9">
        <f t="shared" si="6"/>
        <v>-379.664669100908</v>
      </c>
      <c r="E32" s="11">
        <f t="shared" si="8"/>
        <v>5000</v>
      </c>
      <c r="F32" s="9">
        <f t="shared" si="7"/>
        <v>5379.66466910091</v>
      </c>
    </row>
    <row r="33" spans="2:6">
      <c r="B33" s="9">
        <f t="shared" si="5"/>
        <v>-34963.9245990418</v>
      </c>
      <c r="C33" s="7">
        <v>31</v>
      </c>
      <c r="D33" s="9">
        <f t="shared" si="6"/>
        <v>-448.703699021036</v>
      </c>
      <c r="E33" s="11">
        <f t="shared" si="8"/>
        <v>5000</v>
      </c>
      <c r="F33" s="9">
        <f t="shared" si="7"/>
        <v>5448.70369902104</v>
      </c>
    </row>
    <row r="34" spans="2:6">
      <c r="B34" s="9">
        <f t="shared" si="5"/>
        <v>-40412.6282980628</v>
      </c>
      <c r="C34" s="7">
        <v>32</v>
      </c>
      <c r="D34" s="9">
        <f t="shared" si="6"/>
        <v>-518.628729825139</v>
      </c>
      <c r="E34" s="11">
        <f t="shared" si="8"/>
        <v>5000</v>
      </c>
      <c r="F34" s="9">
        <f t="shared" si="7"/>
        <v>5518.62872982514</v>
      </c>
    </row>
    <row r="35" spans="2:6">
      <c r="B35" s="9">
        <f t="shared" si="5"/>
        <v>-45931.257027888</v>
      </c>
      <c r="C35" s="7">
        <v>33</v>
      </c>
      <c r="D35" s="9">
        <f t="shared" si="6"/>
        <v>-589.451131857895</v>
      </c>
      <c r="E35" s="11">
        <f t="shared" si="8"/>
        <v>5000</v>
      </c>
      <c r="F35" s="9">
        <f t="shared" si="7"/>
        <v>5589.4511318579</v>
      </c>
    </row>
    <row r="36" spans="2:6">
      <c r="B36" s="9">
        <f t="shared" si="5"/>
        <v>-51520.7081597459</v>
      </c>
      <c r="C36" s="7">
        <v>34</v>
      </c>
      <c r="D36" s="9">
        <f t="shared" si="6"/>
        <v>-661.182421383405</v>
      </c>
      <c r="E36" s="11">
        <f t="shared" si="8"/>
        <v>5000</v>
      </c>
      <c r="F36" s="9">
        <f t="shared" si="7"/>
        <v>5661.18242138341</v>
      </c>
    </row>
    <row r="37" spans="2:6">
      <c r="B37" s="9">
        <f t="shared" si="5"/>
        <v>-57181.8905811293</v>
      </c>
      <c r="C37" s="7">
        <v>35</v>
      </c>
      <c r="D37" s="9">
        <f t="shared" si="6"/>
        <v>-733.834262457825</v>
      </c>
      <c r="E37" s="11">
        <f t="shared" si="8"/>
        <v>5000</v>
      </c>
      <c r="F37" s="9">
        <f t="shared" si="7"/>
        <v>5733.83426245783</v>
      </c>
    </row>
    <row r="38" spans="2:6">
      <c r="B38" s="9">
        <f t="shared" si="5"/>
        <v>-62915.7248435871</v>
      </c>
      <c r="C38" s="7">
        <v>36</v>
      </c>
      <c r="D38" s="9">
        <f t="shared" si="6"/>
        <v>-807.418468826034</v>
      </c>
      <c r="E38" s="11">
        <f t="shared" si="8"/>
        <v>5000</v>
      </c>
      <c r="F38" s="9">
        <f t="shared" si="7"/>
        <v>5807.41846882603</v>
      </c>
    </row>
    <row r="39" spans="2:5">
      <c r="B39" s="8">
        <v>100000</v>
      </c>
      <c r="D39" s="2">
        <f>SUM(D3:D38)</f>
        <v>11276.8566875869</v>
      </c>
      <c r="E39" s="1">
        <f>SUM(E3:E38)</f>
        <v>180000</v>
      </c>
    </row>
    <row r="44" spans="2:4">
      <c r="B44" s="2" t="s">
        <v>19</v>
      </c>
      <c r="C44" s="1">
        <f>E39-B39</f>
        <v>80000</v>
      </c>
      <c r="D44" s="2">
        <f>C44-15866</f>
        <v>64134</v>
      </c>
    </row>
    <row r="46" ht="57.6" spans="5:5">
      <c r="E46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2020-09-30T02:40:00Z</dcterms:created>
  <dcterms:modified xsi:type="dcterms:W3CDTF">2020-09-30T13:11:20Z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