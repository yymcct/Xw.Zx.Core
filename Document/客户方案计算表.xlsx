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Sun-Jackey\Desktop\"/>
    </mc:Choice>
  </mc:AlternateContent>
  <xr:revisionPtr revIDLastSave="0" documentId="8_{70784827-2EE7-4867-AB99-2FB650EE5997}" xr6:coauthVersionLast="44" xr6:coauthVersionMax="44" xr10:uidLastSave="{00000000-0000-0000-0000-000000000000}"/>
  <bookViews>
    <workbookView xWindow="-108" yWindow="-108" windowWidth="23256" windowHeight="12576" activeTab="2" xr2:uid="{00000000-000D-0000-FFFF-FFFF00000000}"/>
  </bookViews>
  <sheets>
    <sheet name="客户方案计算表" sheetId="1" r:id="rId1"/>
    <sheet name="逾期利息" sheetId="2" r:id="rId2"/>
    <sheet name="减免计算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" i="3" l="1"/>
  <c r="C4" i="3"/>
  <c r="B4" i="3"/>
  <c r="E2" i="3"/>
  <c r="C2" i="3"/>
  <c r="B2" i="3"/>
  <c r="E5" i="2"/>
  <c r="E4" i="2"/>
  <c r="E43" i="1"/>
  <c r="J39" i="1"/>
  <c r="E39" i="1"/>
  <c r="D39" i="1"/>
  <c r="F39" i="1" s="1"/>
  <c r="J38" i="1"/>
  <c r="F38" i="1"/>
  <c r="E38" i="1"/>
  <c r="D38" i="1"/>
  <c r="J37" i="1"/>
  <c r="E37" i="1"/>
  <c r="D37" i="1"/>
  <c r="F37" i="1" s="1"/>
  <c r="J36" i="1"/>
  <c r="F36" i="1"/>
  <c r="E36" i="1"/>
  <c r="D36" i="1"/>
  <c r="J35" i="1"/>
  <c r="E35" i="1"/>
  <c r="D35" i="1"/>
  <c r="F35" i="1" s="1"/>
  <c r="J34" i="1"/>
  <c r="F34" i="1"/>
  <c r="E34" i="1"/>
  <c r="D34" i="1"/>
  <c r="J33" i="1"/>
  <c r="E33" i="1"/>
  <c r="D33" i="1"/>
  <c r="F33" i="1" s="1"/>
  <c r="J32" i="1"/>
  <c r="F32" i="1"/>
  <c r="E32" i="1"/>
  <c r="D32" i="1"/>
  <c r="J31" i="1"/>
  <c r="E31" i="1"/>
  <c r="D31" i="1"/>
  <c r="F31" i="1" s="1"/>
  <c r="J30" i="1"/>
  <c r="F30" i="1"/>
  <c r="E30" i="1"/>
  <c r="D30" i="1"/>
  <c r="K29" i="1"/>
  <c r="E29" i="1"/>
  <c r="F29" i="1" s="1"/>
  <c r="D29" i="1"/>
  <c r="K28" i="1"/>
  <c r="E28" i="1"/>
  <c r="F28" i="1" s="1"/>
  <c r="D28" i="1"/>
  <c r="K27" i="1"/>
  <c r="E27" i="1"/>
  <c r="F27" i="1" s="1"/>
  <c r="D27" i="1"/>
  <c r="K26" i="1"/>
  <c r="E26" i="1"/>
  <c r="D26" i="1"/>
  <c r="F26" i="1" s="1"/>
  <c r="K25" i="1"/>
  <c r="E25" i="1"/>
  <c r="F25" i="1" s="1"/>
  <c r="D25" i="1"/>
  <c r="N24" i="1"/>
  <c r="K24" i="1"/>
  <c r="E24" i="1"/>
  <c r="F24" i="1" s="1"/>
  <c r="D24" i="1"/>
  <c r="K23" i="1"/>
  <c r="E23" i="1"/>
  <c r="D23" i="1"/>
  <c r="F23" i="1" s="1"/>
  <c r="K22" i="1"/>
  <c r="E22" i="1"/>
  <c r="F22" i="1" s="1"/>
  <c r="D22" i="1"/>
  <c r="K21" i="1"/>
  <c r="F21" i="1"/>
  <c r="E21" i="1"/>
  <c r="D21" i="1"/>
  <c r="K20" i="1"/>
  <c r="E20" i="1"/>
  <c r="F20" i="1" s="1"/>
  <c r="D20" i="1"/>
  <c r="K19" i="1"/>
  <c r="E19" i="1"/>
  <c r="F19" i="1" s="1"/>
  <c r="D19" i="1"/>
  <c r="K18" i="1"/>
  <c r="E18" i="1"/>
  <c r="F18" i="1" s="1"/>
  <c r="D18" i="1"/>
  <c r="K17" i="1"/>
  <c r="E17" i="1"/>
  <c r="D17" i="1"/>
  <c r="F17" i="1" s="1"/>
  <c r="K16" i="1"/>
  <c r="E16" i="1"/>
  <c r="F16" i="1" s="1"/>
  <c r="D16" i="1"/>
  <c r="K15" i="1"/>
  <c r="E15" i="1"/>
  <c r="D15" i="1"/>
  <c r="F15" i="1" s="1"/>
  <c r="K14" i="1"/>
  <c r="E14" i="1"/>
  <c r="K13" i="1"/>
  <c r="E13" i="1"/>
  <c r="K12" i="1"/>
  <c r="E12" i="1"/>
  <c r="K11" i="1"/>
  <c r="E11" i="1"/>
  <c r="K10" i="1"/>
  <c r="E10" i="1"/>
  <c r="K9" i="1"/>
  <c r="E9" i="1"/>
  <c r="K8" i="1"/>
  <c r="E8" i="1"/>
  <c r="K7" i="1"/>
  <c r="E7" i="1"/>
  <c r="K6" i="1"/>
  <c r="E6" i="1"/>
  <c r="K5" i="1"/>
  <c r="E5" i="1"/>
  <c r="E41" i="1" s="1"/>
  <c r="J4" i="1"/>
  <c r="L4" i="1" s="1"/>
  <c r="H5" i="1" s="1"/>
  <c r="D4" i="1"/>
  <c r="J5" i="1" l="1"/>
  <c r="L5" i="1"/>
  <c r="H6" i="1" s="1"/>
  <c r="F45" i="1"/>
  <c r="F4" i="1"/>
  <c r="B5" i="1" s="1"/>
  <c r="J6" i="1" l="1"/>
  <c r="L6" i="1" s="1"/>
  <c r="H7" i="1" s="1"/>
  <c r="D5" i="1"/>
  <c r="J7" i="1" l="1"/>
  <c r="F5" i="1"/>
  <c r="B6" i="1" s="1"/>
  <c r="D6" i="1" l="1"/>
  <c r="L7" i="1"/>
  <c r="H8" i="1" s="1"/>
  <c r="F6" i="1" l="1"/>
  <c r="B7" i="1" s="1"/>
  <c r="J8" i="1"/>
  <c r="D7" i="1" l="1"/>
  <c r="L8" i="1"/>
  <c r="H9" i="1" s="1"/>
  <c r="F7" i="1" l="1"/>
  <c r="B8" i="1" s="1"/>
  <c r="J9" i="1"/>
  <c r="L9" i="1" l="1"/>
  <c r="H10" i="1" s="1"/>
  <c r="D8" i="1"/>
  <c r="F8" i="1" s="1"/>
  <c r="B9" i="1" s="1"/>
  <c r="D9" i="1" l="1"/>
  <c r="F9" i="1" s="1"/>
  <c r="B10" i="1" s="1"/>
  <c r="J10" i="1"/>
  <c r="L10" i="1" s="1"/>
  <c r="H11" i="1" s="1"/>
  <c r="J11" i="1" l="1"/>
  <c r="L11" i="1" s="1"/>
  <c r="H12" i="1" s="1"/>
  <c r="D10" i="1"/>
  <c r="F10" i="1" s="1"/>
  <c r="B11" i="1"/>
  <c r="J12" i="1" l="1"/>
  <c r="L12" i="1" s="1"/>
  <c r="H13" i="1" s="1"/>
  <c r="D11" i="1"/>
  <c r="F11" i="1" s="1"/>
  <c r="B12" i="1"/>
  <c r="J13" i="1" l="1"/>
  <c r="L13" i="1" s="1"/>
  <c r="H14" i="1"/>
  <c r="D12" i="1"/>
  <c r="F12" i="1" s="1"/>
  <c r="B13" i="1" s="1"/>
  <c r="D13" i="1" l="1"/>
  <c r="J14" i="1"/>
  <c r="L14" i="1" s="1"/>
  <c r="H15" i="1" s="1"/>
  <c r="J15" i="1" l="1"/>
  <c r="L15" i="1" s="1"/>
  <c r="H16" i="1" s="1"/>
  <c r="F13" i="1"/>
  <c r="B14" i="1" s="1"/>
  <c r="D14" i="1" s="1"/>
  <c r="F14" i="1" s="1"/>
  <c r="D41" i="1"/>
  <c r="J16" i="1" l="1"/>
  <c r="L16" i="1" s="1"/>
  <c r="H17" i="1" s="1"/>
  <c r="K4" i="3"/>
  <c r="L4" i="3" s="1"/>
  <c r="J17" i="1" l="1"/>
  <c r="L17" i="1" s="1"/>
  <c r="H18" i="1" s="1"/>
  <c r="J18" i="1" l="1"/>
  <c r="L18" i="1" s="1"/>
  <c r="H19" i="1" s="1"/>
  <c r="J19" i="1" l="1"/>
  <c r="L19" i="1" s="1"/>
  <c r="H20" i="1" s="1"/>
  <c r="J20" i="1" l="1"/>
  <c r="L20" i="1" s="1"/>
  <c r="H21" i="1" s="1"/>
  <c r="J21" i="1" l="1"/>
  <c r="L21" i="1" s="1"/>
  <c r="H22" i="1" s="1"/>
  <c r="H23" i="1" l="1"/>
  <c r="J22" i="1"/>
  <c r="L22" i="1" s="1"/>
  <c r="J23" i="1" l="1"/>
  <c r="L23" i="1" s="1"/>
  <c r="H24" i="1" s="1"/>
  <c r="J24" i="1" l="1"/>
  <c r="L24" i="1" s="1"/>
  <c r="H25" i="1" s="1"/>
  <c r="J25" i="1" l="1"/>
  <c r="L25" i="1" s="1"/>
  <c r="H26" i="1" s="1"/>
  <c r="J26" i="1" l="1"/>
  <c r="L26" i="1" l="1"/>
  <c r="H27" i="1" s="1"/>
  <c r="J41" i="1"/>
  <c r="F47" i="1" l="1"/>
  <c r="K2" i="3"/>
  <c r="L2" i="3" s="1"/>
  <c r="J27" i="1"/>
  <c r="L27" i="1" s="1"/>
  <c r="H28" i="1" s="1"/>
  <c r="J28" i="1" l="1"/>
  <c r="L28" i="1" s="1"/>
  <c r="H29" i="1" s="1"/>
  <c r="J29" i="1" s="1"/>
  <c r="L29" i="1" s="1"/>
</calcChain>
</file>

<file path=xl/sharedStrings.xml><?xml version="1.0" encoding="utf-8"?>
<sst xmlns="http://schemas.openxmlformats.org/spreadsheetml/2006/main" count="65" uniqueCount="56">
  <si>
    <t>2020.8.19日及之前的利率核算表</t>
  </si>
  <si>
    <t>2020.8.20日及之后的利率核算表</t>
  </si>
  <si>
    <t>使用说明</t>
  </si>
  <si>
    <t>手动填写第一行数据</t>
  </si>
  <si>
    <r>
      <rPr>
        <b/>
        <sz val="11"/>
        <color theme="1"/>
        <rFont val="宋体"/>
        <charset val="134"/>
        <scheme val="minor"/>
      </rPr>
      <t xml:space="preserve">还款期数为2020.8.19日及之前期数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</si>
  <si>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>计息本金*</t>
    </r>
    <r>
      <rPr>
        <b/>
        <sz val="11"/>
        <color theme="1"/>
        <rFont val="宋体"/>
        <charset val="134"/>
        <scheme val="minor"/>
      </rPr>
      <t>24</t>
    </r>
    <r>
      <rPr>
        <b/>
        <sz val="11"/>
        <color theme="1"/>
        <rFont val="宋体"/>
        <charset val="134"/>
        <scheme val="minor"/>
      </rPr>
      <t xml:space="preserve">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</si>
  <si>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r>
      <rPr>
        <b/>
        <sz val="11"/>
        <color theme="1"/>
        <rFont val="宋体"/>
        <charset val="134"/>
        <scheme val="minor"/>
      </rPr>
      <t xml:space="preserve">与签订合同保持一致
</t>
    </r>
    <r>
      <rPr>
        <sz val="10"/>
        <color rgb="FFFF0000"/>
        <rFont val="宋体"/>
        <charset val="134"/>
        <scheme val="minor"/>
      </rPr>
      <t>此列第一格需要手动填写</t>
    </r>
  </si>
  <si>
    <t>此列为公式
不要修改</t>
  </si>
  <si>
    <r>
      <rPr>
        <b/>
        <sz val="11"/>
        <color theme="1"/>
        <rFont val="宋体"/>
        <charset val="134"/>
        <scheme val="minor"/>
      </rPr>
      <t xml:space="preserve">还款期数为2020.8.20日及之后的期数
</t>
    </r>
    <r>
      <rPr>
        <sz val="10"/>
        <color rgb="FFFF0000"/>
        <rFont val="宋体"/>
        <charset val="134"/>
        <scheme val="minor"/>
      </rPr>
      <t>此列需要手动填写</t>
    </r>
  </si>
  <si>
    <r>
      <rPr>
        <b/>
        <sz val="11"/>
        <color theme="1"/>
        <rFont val="宋体"/>
        <charset val="134"/>
        <scheme val="minor"/>
      </rPr>
      <t xml:space="preserve">计息本金*17%/12
</t>
    </r>
    <r>
      <rPr>
        <b/>
        <sz val="11"/>
        <color rgb="FFFF0000"/>
        <rFont val="宋体"/>
        <charset val="134"/>
        <scheme val="minor"/>
      </rPr>
      <t>此列为公式,不要修改</t>
    </r>
  </si>
  <si>
    <t>计息本金</t>
  </si>
  <si>
    <t>还款期数
（合同）</t>
  </si>
  <si>
    <t>每月应还利息金额</t>
  </si>
  <si>
    <t>每月还款金额</t>
  </si>
  <si>
    <t>每月应抵本金</t>
  </si>
  <si>
    <t>数值对应关系</t>
  </si>
  <si>
    <t>解释</t>
  </si>
  <si>
    <t>计息本金=客户实际到账本金，不包含砍头息</t>
  </si>
  <si>
    <r>
      <rPr>
        <sz val="11"/>
        <color theme="1"/>
        <rFont val="宋体"/>
        <charset val="134"/>
        <scheme val="minor"/>
      </rPr>
      <t>每月应还利息=计息本金*1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</t>
    </r>
  </si>
  <si>
    <r>
      <rPr>
        <sz val="11"/>
        <color theme="1"/>
        <rFont val="宋体"/>
        <charset val="134"/>
        <scheme val="minor"/>
      </rPr>
      <t>每个月客户按1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%应该还的利息</t>
    </r>
  </si>
  <si>
    <t>每月还款金额=合同约定还款金额</t>
  </si>
  <si>
    <t>每月应抵本金=还款金额-应还利息金额</t>
  </si>
  <si>
    <t>第二期计息本金=客户实际到账本金-应抵本金</t>
  </si>
  <si>
    <r>
      <rPr>
        <sz val="11"/>
        <color theme="1"/>
        <rFont val="宋体"/>
        <charset val="134"/>
        <scheme val="minor"/>
      </rPr>
      <t>逾期利息=剩余本金*1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%/12*逾期期数</t>
    </r>
  </si>
  <si>
    <t>这个利息直到客户清偿之日为止</t>
  </si>
  <si>
    <r>
      <rPr>
        <sz val="11"/>
        <color theme="1"/>
        <rFont val="宋体"/>
        <charset val="134"/>
        <scheme val="minor"/>
      </rPr>
      <t>客户年化率，按</t>
    </r>
    <r>
      <rPr>
        <b/>
        <sz val="11"/>
        <color rgb="FFFF0000"/>
        <rFont val="宋体"/>
        <charset val="134"/>
        <scheme val="minor"/>
      </rPr>
      <t>鲸算师APP</t>
    </r>
    <r>
      <rPr>
        <sz val="11"/>
        <color theme="1"/>
        <rFont val="宋体"/>
        <charset val="134"/>
        <scheme val="minor"/>
      </rPr>
      <t>进行计算，进入APP后选择贷款利率</t>
    </r>
  </si>
  <si>
    <t>借款总额</t>
  </si>
  <si>
    <t>客户实际到账金额</t>
  </si>
  <si>
    <t>在进行计算时，需要了解客户合同签订时间、还款期数。从签订合同之日起至2020.8.20日，每期年化率按24%核算，2020.8.20日至还款结清月份，每期年化率按17%核算。
表格一测算的是从客户签订合同之日起至2020.8.20日，每期年化率按24%核算的结果；表格二测算的是客户从2020.8.20日至还款结清月份，每期年化率按17%核算的结果</t>
  </si>
  <si>
    <t>应付利息：</t>
  </si>
  <si>
    <t>最大减免=合同金额-已还金额-剩余本金</t>
  </si>
  <si>
    <t>最小减免=合同金额-已还金额-剩余本金-剩余法定利息</t>
  </si>
  <si>
    <t>逾期利息=剩余本金*24%/12*逾期期数</t>
  </si>
  <si>
    <t>绿色为手工填写</t>
  </si>
  <si>
    <r>
      <rPr>
        <b/>
        <sz val="11"/>
        <color theme="1"/>
        <rFont val="宋体"/>
        <charset val="134"/>
        <scheme val="minor"/>
      </rPr>
      <t>逾期利息=剩余本金*17</t>
    </r>
    <r>
      <rPr>
        <b/>
        <sz val="11"/>
        <color theme="1"/>
        <rFont val="宋体"/>
        <charset val="134"/>
        <scheme val="minor"/>
      </rPr>
      <t>%/12*逾期期数</t>
    </r>
  </si>
  <si>
    <t>剩余本金</t>
  </si>
  <si>
    <t>利率</t>
  </si>
  <si>
    <t>12个月</t>
  </si>
  <si>
    <t>逾期期数</t>
  </si>
  <si>
    <t>逾期利息</t>
  </si>
  <si>
    <t>合同金额</t>
  </si>
  <si>
    <t>实际到账</t>
  </si>
  <si>
    <t>分期总数</t>
  </si>
  <si>
    <t>每期金额</t>
  </si>
  <si>
    <t>2020.8.19及之前期数</t>
  </si>
  <si>
    <t>2020.8.20及之后期数</t>
  </si>
  <si>
    <t>已还期数</t>
  </si>
  <si>
    <t>未还期数</t>
  </si>
  <si>
    <t>逾期</t>
  </si>
  <si>
    <t>应付利息</t>
  </si>
  <si>
    <t>结果</t>
  </si>
  <si>
    <r>
      <rPr>
        <sz val="11"/>
        <color theme="1"/>
        <rFont val="宋体"/>
        <charset val="134"/>
        <scheme val="minor"/>
      </rPr>
      <t xml:space="preserve">计算逻辑：
</t>
    </r>
    <r>
      <rPr>
        <b/>
        <sz val="11"/>
        <color theme="1"/>
        <rFont val="宋体"/>
        <charset val="134"/>
        <scheme val="minor"/>
      </rPr>
      <t>最大减免</t>
    </r>
    <r>
      <rPr>
        <sz val="11"/>
        <color theme="1"/>
        <rFont val="宋体"/>
        <charset val="134"/>
        <scheme val="minor"/>
      </rPr>
      <t>=合同金额-到账金额-应付利息
合同金额=每期还款*总期数
应付利息=</t>
    </r>
    <r>
      <rPr>
        <sz val="11"/>
        <color theme="1"/>
        <rFont val="宋体"/>
        <charset val="134"/>
        <scheme val="minor"/>
      </rPr>
      <t>到账金额*24%*（合同签订日期至2020年8月20日的期数）+到账金额*17*（2020年8月20日至客户最后一次还款那个月的期数）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最小减免</t>
    </r>
    <r>
      <rPr>
        <sz val="11"/>
        <color theme="1"/>
        <rFont val="宋体"/>
        <charset val="134"/>
        <scheme val="minor"/>
      </rPr>
      <t>=合同金额-到账金额-应付利息
应付利息</t>
    </r>
    <r>
      <rPr>
        <sz val="11"/>
        <color theme="1"/>
        <rFont val="宋体"/>
        <charset val="134"/>
        <scheme val="minor"/>
      </rPr>
      <t>=</t>
    </r>
    <r>
      <rPr>
        <sz val="11"/>
        <color theme="1"/>
        <rFont val="宋体"/>
        <charset val="134"/>
        <scheme val="minor"/>
      </rPr>
      <t>到账金额</t>
    </r>
    <r>
      <rPr>
        <sz val="11"/>
        <color theme="1"/>
        <rFont val="宋体"/>
        <charset val="134"/>
        <scheme val="minor"/>
      </rPr>
      <t>*24%*</t>
    </r>
    <r>
      <rPr>
        <sz val="11"/>
        <color theme="1"/>
        <rFont val="宋体"/>
        <charset val="134"/>
        <scheme val="minor"/>
      </rPr>
      <t>（合同签订日期至</t>
    </r>
    <r>
      <rPr>
        <sz val="11"/>
        <color theme="1"/>
        <rFont val="宋体"/>
        <charset val="134"/>
        <scheme val="minor"/>
      </rPr>
      <t>2020</t>
    </r>
    <r>
      <rPr>
        <sz val="11"/>
        <color theme="1"/>
        <rFont val="宋体"/>
        <charset val="134"/>
        <scheme val="minor"/>
      </rPr>
      <t>年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月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日的期数）</t>
    </r>
    <r>
      <rPr>
        <sz val="11"/>
        <color theme="1"/>
        <rFont val="宋体"/>
        <charset val="134"/>
        <scheme val="minor"/>
      </rPr>
      <t>+</t>
    </r>
    <r>
      <rPr>
        <sz val="11"/>
        <color theme="1"/>
        <rFont val="宋体"/>
        <charset val="134"/>
        <scheme val="minor"/>
      </rPr>
      <t>到账金额</t>
    </r>
    <r>
      <rPr>
        <sz val="11"/>
        <color theme="1"/>
        <rFont val="宋体"/>
        <charset val="134"/>
        <scheme val="minor"/>
      </rPr>
      <t>*17*</t>
    </r>
    <r>
      <rPr>
        <sz val="11"/>
        <color theme="1"/>
        <rFont val="宋体"/>
        <charset val="134"/>
        <scheme val="minor"/>
      </rPr>
      <t>（</t>
    </r>
    <r>
      <rPr>
        <sz val="11"/>
        <color theme="1"/>
        <rFont val="宋体"/>
        <charset val="134"/>
        <scheme val="minor"/>
      </rPr>
      <t>36-</t>
    </r>
    <r>
      <rPr>
        <sz val="11"/>
        <color theme="1"/>
        <rFont val="宋体"/>
        <charset val="134"/>
        <scheme val="minor"/>
      </rPr>
      <t>（合同签订日期至</t>
    </r>
    <r>
      <rPr>
        <sz val="11"/>
        <color theme="1"/>
        <rFont val="宋体"/>
        <charset val="134"/>
        <scheme val="minor"/>
      </rPr>
      <t>2020</t>
    </r>
    <r>
      <rPr>
        <sz val="11"/>
        <color theme="1"/>
        <rFont val="宋体"/>
        <charset val="134"/>
        <scheme val="minor"/>
      </rPr>
      <t>年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月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日的期数））</t>
    </r>
  </si>
  <si>
    <t>减免最小值</t>
    <phoneticPr fontId="7" type="noConversion"/>
  </si>
  <si>
    <t>减免最大值</t>
    <phoneticPr fontId="7" type="noConversion"/>
  </si>
  <si>
    <r>
      <t>最小减免</t>
    </r>
    <r>
      <rPr>
        <sz val="11"/>
        <color theme="1"/>
        <rFont val="宋体"/>
        <charset val="134"/>
        <scheme val="minor"/>
      </rPr>
      <t>=合同金额-已还金额-剩余本金-剩余法定利息
合同金额=每期还款*总期数
已还金额=每期还款*还款期数
剩余本金=实际到账金额-应付利息-冲销本金
当期应付利息=剩余本金*24%/12
剩余本金需要逐笔核减计算得出
当期剩余法定利息=剩余本金*17%/12
剩余本金需要逐笔核减计算得出</t>
    </r>
    <phoneticPr fontId="7" type="noConversion"/>
  </si>
  <si>
    <r>
      <t>最大减免</t>
    </r>
    <r>
      <rPr>
        <sz val="11"/>
        <color theme="1"/>
        <rFont val="宋体"/>
        <charset val="134"/>
        <scheme val="minor"/>
      </rPr>
      <t>=合同金额-已还金额-剩余本金
合同金额=每期还款*总期数
已还金额=每期还款*还款期数
当期剩余本金=实际到账金额-应付利息-冲销本金
当期应付利息=剩余本金*24%/12
剩余本金需要逐笔核减计算得出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</si>
</sst>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"/>
    <numFmt numFmtId="179" formatCode="0.00_ "/>
  </numFmts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9" fontId="1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9" fontId="0" fillId="0" borderId="4" xfId="0" applyNumberFormat="1" applyBorder="1" applyAlignment="1">
      <alignment horizontal="center" vertical="center"/>
    </xf>
    <xf numFmtId="178" fontId="0" fillId="0" borderId="4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/>
    </xf>
    <xf numFmtId="179" fontId="0" fillId="0" borderId="6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179" fontId="1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9" fontId="2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79" fontId="5" fillId="0" borderId="4" xfId="0" applyNumberFormat="1" applyFont="1" applyBorder="1" applyAlignment="1">
      <alignment horizontal="center" vertical="center" wrapText="1"/>
    </xf>
    <xf numFmtId="179" fontId="0" fillId="3" borderId="4" xfId="0" applyNumberForma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79" fontId="0" fillId="0" borderId="4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79" fontId="0" fillId="5" borderId="4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79" fontId="0" fillId="0" borderId="0" xfId="0" applyNumberFormat="1" applyBorder="1" applyAlignment="1">
      <alignment horizontal="center" vertical="center" wrapText="1"/>
    </xf>
    <xf numFmtId="179" fontId="5" fillId="0" borderId="0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179" fontId="3" fillId="0" borderId="10" xfId="0" applyNumberFormat="1" applyFont="1" applyBorder="1" applyAlignment="1">
      <alignment horizontal="center" vertical="center" wrapText="1"/>
    </xf>
    <xf numFmtId="179" fontId="0" fillId="0" borderId="10" xfId="0" applyNumberForma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Q49"/>
  <sheetViews>
    <sheetView workbookViewId="0">
      <selection activeCell="C16" sqref="C16"/>
    </sheetView>
  </sheetViews>
  <sheetFormatPr defaultColWidth="9" defaultRowHeight="14.4" x14ac:dyDescent="0.25"/>
  <cols>
    <col min="1" max="1" width="9" style="25"/>
    <col min="2" max="2" width="11.44140625" style="3"/>
    <col min="3" max="3" width="14" style="25" customWidth="1"/>
    <col min="4" max="4" width="12.6640625" style="3"/>
    <col min="5" max="5" width="13.6640625" style="25" customWidth="1"/>
    <col min="6" max="6" width="12.6640625" style="3"/>
    <col min="7" max="7" width="3.44140625" style="25" customWidth="1"/>
    <col min="8" max="8" width="11.6640625" style="3" customWidth="1"/>
    <col min="9" max="9" width="14" style="25" customWidth="1"/>
    <col min="10" max="10" width="10.44140625" style="3" customWidth="1"/>
    <col min="11" max="11" width="13.6640625" style="25" customWidth="1"/>
    <col min="12" max="13" width="9" style="3"/>
    <col min="14" max="14" width="37.77734375" style="25" customWidth="1"/>
    <col min="15" max="15" width="31.109375" style="25" customWidth="1"/>
    <col min="16" max="16384" width="9" style="25"/>
  </cols>
  <sheetData>
    <row r="1" spans="1:17" x14ac:dyDescent="0.25">
      <c r="B1" s="44" t="s">
        <v>0</v>
      </c>
      <c r="C1" s="45"/>
      <c r="D1" s="45"/>
      <c r="E1" s="45"/>
      <c r="F1" s="45"/>
      <c r="H1" s="44" t="s">
        <v>1</v>
      </c>
      <c r="I1" s="45"/>
      <c r="J1" s="45"/>
      <c r="K1" s="45"/>
      <c r="L1" s="45"/>
      <c r="M1" s="40"/>
    </row>
    <row r="2" spans="1:17" ht="72" x14ac:dyDescent="0.25">
      <c r="A2" s="26" t="s">
        <v>2</v>
      </c>
      <c r="B2" s="27" t="s">
        <v>3</v>
      </c>
      <c r="C2" s="28" t="s">
        <v>4</v>
      </c>
      <c r="D2" s="29" t="s">
        <v>5</v>
      </c>
      <c r="E2" s="30" t="s">
        <v>6</v>
      </c>
      <c r="F2" s="31" t="s">
        <v>7</v>
      </c>
      <c r="H2" s="27" t="s">
        <v>3</v>
      </c>
      <c r="I2" s="28" t="s">
        <v>8</v>
      </c>
      <c r="J2" s="27" t="s">
        <v>9</v>
      </c>
      <c r="K2" s="30" t="s">
        <v>6</v>
      </c>
      <c r="L2" s="31" t="s">
        <v>7</v>
      </c>
      <c r="M2" s="41"/>
    </row>
    <row r="3" spans="1:17" ht="28.8" x14ac:dyDescent="0.25">
      <c r="B3" s="27" t="s">
        <v>10</v>
      </c>
      <c r="C3" s="30" t="s">
        <v>11</v>
      </c>
      <c r="D3" s="27" t="s">
        <v>12</v>
      </c>
      <c r="E3" s="30" t="s">
        <v>13</v>
      </c>
      <c r="F3" s="27" t="s">
        <v>14</v>
      </c>
      <c r="H3" s="27" t="s">
        <v>10</v>
      </c>
      <c r="I3" s="30" t="s">
        <v>11</v>
      </c>
      <c r="J3" s="27" t="s">
        <v>12</v>
      </c>
      <c r="K3" s="30" t="s">
        <v>13</v>
      </c>
      <c r="L3" s="27" t="s">
        <v>14</v>
      </c>
      <c r="M3" s="27"/>
      <c r="N3" s="30" t="s">
        <v>15</v>
      </c>
      <c r="O3" s="30" t="s">
        <v>16</v>
      </c>
      <c r="P3" s="42"/>
      <c r="Q3" s="42"/>
    </row>
    <row r="4" spans="1:17" ht="28.8" x14ac:dyDescent="0.25">
      <c r="B4" s="32">
        <v>150000</v>
      </c>
      <c r="C4" s="33">
        <v>1</v>
      </c>
      <c r="D4" s="34">
        <f>B4*24%/12</f>
        <v>3000</v>
      </c>
      <c r="E4" s="35">
        <v>6108.08</v>
      </c>
      <c r="F4" s="34">
        <f>E4-D4</f>
        <v>3108.08</v>
      </c>
      <c r="H4" s="32">
        <v>115967.391155135</v>
      </c>
      <c r="I4" s="33">
        <v>11</v>
      </c>
      <c r="J4" s="34">
        <f>H4*17%/12</f>
        <v>1642.8713746977462</v>
      </c>
      <c r="K4" s="35">
        <v>6108.08</v>
      </c>
      <c r="L4" s="34">
        <f>K4-J4</f>
        <v>4465.2086253022535</v>
      </c>
      <c r="M4" s="34"/>
      <c r="N4" s="33" t="s">
        <v>17</v>
      </c>
      <c r="O4" s="33"/>
    </row>
    <row r="5" spans="1:17" x14ac:dyDescent="0.25">
      <c r="B5" s="34">
        <f>B4-F4</f>
        <v>146891.92000000001</v>
      </c>
      <c r="C5" s="33">
        <v>2</v>
      </c>
      <c r="D5" s="34">
        <f t="shared" ref="D5:D39" si="0">B5*24%/12</f>
        <v>2937.8384000000001</v>
      </c>
      <c r="E5" s="36">
        <f>$E$4</f>
        <v>6108.08</v>
      </c>
      <c r="F5" s="34">
        <f t="shared" ref="F5:F23" si="1">E5-D5</f>
        <v>3170.2415999999998</v>
      </c>
      <c r="H5" s="34">
        <f>H4-L4</f>
        <v>111502.18252983275</v>
      </c>
      <c r="I5" s="33">
        <v>12</v>
      </c>
      <c r="J5" s="34">
        <f t="shared" ref="J5:J39" si="2">H5*17%/12</f>
        <v>1579.614252505964</v>
      </c>
      <c r="K5" s="36">
        <f>$E$4</f>
        <v>6108.08</v>
      </c>
      <c r="L5" s="34">
        <f t="shared" ref="L5:L29" si="3">K5-J5</f>
        <v>4528.4657474940359</v>
      </c>
      <c r="M5" s="34"/>
      <c r="N5" s="37" t="s">
        <v>18</v>
      </c>
      <c r="O5" s="37" t="s">
        <v>19</v>
      </c>
    </row>
    <row r="6" spans="1:17" x14ac:dyDescent="0.25">
      <c r="B6" s="34">
        <f t="shared" ref="B6:B14" si="4">B5-F5</f>
        <v>143721.6784</v>
      </c>
      <c r="C6" s="33">
        <v>3</v>
      </c>
      <c r="D6" s="34">
        <f t="shared" si="0"/>
        <v>2874.4335679999999</v>
      </c>
      <c r="E6" s="36">
        <f t="shared" ref="E6:E15" si="5">$E$4</f>
        <v>6108.08</v>
      </c>
      <c r="F6" s="34">
        <f t="shared" si="1"/>
        <v>3233.646432</v>
      </c>
      <c r="H6" s="34">
        <f t="shared" ref="H6:H29" si="6">H5-L5</f>
        <v>106973.71678233871</v>
      </c>
      <c r="I6" s="33">
        <v>13</v>
      </c>
      <c r="J6" s="34">
        <f t="shared" si="2"/>
        <v>1515.4609877497985</v>
      </c>
      <c r="K6" s="36">
        <f t="shared" ref="K6:K29" si="7">$E$4</f>
        <v>6108.08</v>
      </c>
      <c r="L6" s="34">
        <f t="shared" si="3"/>
        <v>4592.6190122502012</v>
      </c>
      <c r="M6" s="34"/>
      <c r="N6" s="33" t="s">
        <v>20</v>
      </c>
      <c r="O6" s="33"/>
    </row>
    <row r="7" spans="1:17" x14ac:dyDescent="0.25">
      <c r="B7" s="34">
        <f t="shared" si="4"/>
        <v>140488.031968</v>
      </c>
      <c r="C7" s="33">
        <v>4</v>
      </c>
      <c r="D7" s="34">
        <f t="shared" si="0"/>
        <v>2809.7606393599999</v>
      </c>
      <c r="E7" s="36">
        <f t="shared" si="5"/>
        <v>6108.08</v>
      </c>
      <c r="F7" s="34">
        <f t="shared" si="1"/>
        <v>3298.31936064</v>
      </c>
      <c r="H7" s="34">
        <f t="shared" si="6"/>
        <v>102381.09777008851</v>
      </c>
      <c r="I7" s="33">
        <v>14</v>
      </c>
      <c r="J7" s="34">
        <f t="shared" si="2"/>
        <v>1450.3988850762541</v>
      </c>
      <c r="K7" s="36">
        <f t="shared" si="7"/>
        <v>6108.08</v>
      </c>
      <c r="L7" s="34">
        <f t="shared" si="3"/>
        <v>4657.6811149237456</v>
      </c>
      <c r="M7" s="34"/>
      <c r="N7" s="33" t="s">
        <v>21</v>
      </c>
      <c r="O7" s="33"/>
    </row>
    <row r="8" spans="1:17" ht="24" customHeight="1" x14ac:dyDescent="0.25">
      <c r="B8" s="34">
        <f t="shared" si="4"/>
        <v>137189.71260736001</v>
      </c>
      <c r="C8" s="33">
        <v>5</v>
      </c>
      <c r="D8" s="34">
        <f t="shared" si="0"/>
        <v>2743.7942521472</v>
      </c>
      <c r="E8" s="36">
        <f t="shared" si="5"/>
        <v>6108.08</v>
      </c>
      <c r="F8" s="34">
        <f t="shared" si="1"/>
        <v>3364.2857478527999</v>
      </c>
      <c r="H8" s="34">
        <f t="shared" si="6"/>
        <v>97723.416655164765</v>
      </c>
      <c r="I8" s="33">
        <v>15</v>
      </c>
      <c r="J8" s="34">
        <f t="shared" si="2"/>
        <v>1384.415069281501</v>
      </c>
      <c r="K8" s="36">
        <f t="shared" si="7"/>
        <v>6108.08</v>
      </c>
      <c r="L8" s="34">
        <f t="shared" si="3"/>
        <v>4723.6649307184989</v>
      </c>
      <c r="M8" s="34"/>
      <c r="N8" s="33" t="s">
        <v>22</v>
      </c>
      <c r="O8" s="43"/>
    </row>
    <row r="9" spans="1:17" x14ac:dyDescent="0.25">
      <c r="B9" s="34">
        <f t="shared" si="4"/>
        <v>133825.42685950722</v>
      </c>
      <c r="C9" s="33">
        <v>6</v>
      </c>
      <c r="D9" s="34">
        <f t="shared" si="0"/>
        <v>2676.5085371901446</v>
      </c>
      <c r="E9" s="36">
        <f t="shared" si="5"/>
        <v>6108.08</v>
      </c>
      <c r="F9" s="34">
        <f t="shared" si="1"/>
        <v>3431.5714628098553</v>
      </c>
      <c r="H9" s="34">
        <f t="shared" si="6"/>
        <v>92999.751724446265</v>
      </c>
      <c r="I9" s="33">
        <v>16</v>
      </c>
      <c r="J9" s="34">
        <f t="shared" si="2"/>
        <v>1317.496482762989</v>
      </c>
      <c r="K9" s="36">
        <f t="shared" si="7"/>
        <v>6108.08</v>
      </c>
      <c r="L9" s="34">
        <f t="shared" si="3"/>
        <v>4790.5835172370107</v>
      </c>
      <c r="M9" s="34"/>
      <c r="N9" s="37" t="s">
        <v>23</v>
      </c>
      <c r="O9" s="43" t="s">
        <v>24</v>
      </c>
    </row>
    <row r="10" spans="1:17" x14ac:dyDescent="0.25">
      <c r="B10" s="34">
        <f t="shared" si="4"/>
        <v>130393.85539669737</v>
      </c>
      <c r="C10" s="33">
        <v>7</v>
      </c>
      <c r="D10" s="34">
        <f t="shared" si="0"/>
        <v>2607.8771079339472</v>
      </c>
      <c r="E10" s="36">
        <f t="shared" si="5"/>
        <v>6108.08</v>
      </c>
      <c r="F10" s="34">
        <f t="shared" si="1"/>
        <v>3500.2028920660528</v>
      </c>
      <c r="H10" s="34">
        <f t="shared" si="6"/>
        <v>88209.168207209252</v>
      </c>
      <c r="I10" s="33">
        <v>17</v>
      </c>
      <c r="J10" s="34">
        <f t="shared" si="2"/>
        <v>1249.6298829354644</v>
      </c>
      <c r="K10" s="36">
        <f t="shared" si="7"/>
        <v>6108.08</v>
      </c>
      <c r="L10" s="34">
        <f t="shared" si="3"/>
        <v>4858.4501170645353</v>
      </c>
      <c r="M10" s="34"/>
      <c r="N10" s="46" t="s">
        <v>25</v>
      </c>
      <c r="O10" s="47"/>
    </row>
    <row r="11" spans="1:17" x14ac:dyDescent="0.25">
      <c r="B11" s="34">
        <f t="shared" si="4"/>
        <v>126893.65250463132</v>
      </c>
      <c r="C11" s="33">
        <v>8</v>
      </c>
      <c r="D11" s="34">
        <f t="shared" si="0"/>
        <v>2537.8730500926263</v>
      </c>
      <c r="E11" s="36">
        <f t="shared" si="5"/>
        <v>6108.08</v>
      </c>
      <c r="F11" s="34">
        <f t="shared" si="1"/>
        <v>3570.2069499073737</v>
      </c>
      <c r="H11" s="34">
        <f t="shared" si="6"/>
        <v>83350.718090144714</v>
      </c>
      <c r="I11" s="33">
        <v>18</v>
      </c>
      <c r="J11" s="34">
        <f t="shared" si="2"/>
        <v>1180.8018396103835</v>
      </c>
      <c r="K11" s="36">
        <f t="shared" si="7"/>
        <v>6108.08</v>
      </c>
      <c r="L11" s="34">
        <f t="shared" si="3"/>
        <v>4927.2781603896165</v>
      </c>
      <c r="M11" s="34"/>
      <c r="N11" s="33" t="s">
        <v>26</v>
      </c>
      <c r="O11" s="33" t="s">
        <v>27</v>
      </c>
    </row>
    <row r="12" spans="1:17" x14ac:dyDescent="0.25">
      <c r="B12" s="34">
        <f t="shared" si="4"/>
        <v>123323.44555472395</v>
      </c>
      <c r="C12" s="33">
        <v>9</v>
      </c>
      <c r="D12" s="34">
        <f t="shared" si="0"/>
        <v>2466.4689110944787</v>
      </c>
      <c r="E12" s="36">
        <f t="shared" si="5"/>
        <v>6108.08</v>
      </c>
      <c r="F12" s="34">
        <f t="shared" si="1"/>
        <v>3641.6110889055212</v>
      </c>
      <c r="H12" s="34">
        <f t="shared" si="6"/>
        <v>78423.439929755099</v>
      </c>
      <c r="I12" s="33">
        <v>19</v>
      </c>
      <c r="J12" s="34">
        <f t="shared" si="2"/>
        <v>1110.9987323381972</v>
      </c>
      <c r="K12" s="36">
        <f t="shared" si="7"/>
        <v>6108.08</v>
      </c>
      <c r="L12" s="34">
        <f t="shared" si="3"/>
        <v>4997.0812676618025</v>
      </c>
      <c r="M12" s="40"/>
    </row>
    <row r="13" spans="1:17" ht="13.5" customHeight="1" x14ac:dyDescent="0.25">
      <c r="B13" s="34">
        <f t="shared" si="4"/>
        <v>119681.83446581842</v>
      </c>
      <c r="C13" s="37">
        <v>10</v>
      </c>
      <c r="D13" s="34">
        <f t="shared" si="0"/>
        <v>2393.6366893163681</v>
      </c>
      <c r="E13" s="36">
        <f t="shared" si="5"/>
        <v>6108.08</v>
      </c>
      <c r="F13" s="34">
        <f t="shared" si="1"/>
        <v>3714.4433106836318</v>
      </c>
      <c r="H13" s="34">
        <f t="shared" si="6"/>
        <v>73426.358662093291</v>
      </c>
      <c r="I13" s="33">
        <v>20</v>
      </c>
      <c r="J13" s="34">
        <f t="shared" si="2"/>
        <v>1040.2067477129883</v>
      </c>
      <c r="K13" s="36">
        <f t="shared" si="7"/>
        <v>6108.08</v>
      </c>
      <c r="L13" s="34">
        <f t="shared" si="3"/>
        <v>5067.8732522870114</v>
      </c>
      <c r="M13" s="40"/>
      <c r="N13" s="48" t="s">
        <v>28</v>
      </c>
      <c r="O13" s="49"/>
    </row>
    <row r="14" spans="1:17" x14ac:dyDescent="0.25">
      <c r="B14" s="38">
        <f t="shared" si="4"/>
        <v>115967.39115513478</v>
      </c>
      <c r="C14" s="39">
        <v>11</v>
      </c>
      <c r="D14" s="38">
        <f t="shared" si="0"/>
        <v>2319.3478231026957</v>
      </c>
      <c r="E14" s="39">
        <f t="shared" si="5"/>
        <v>6108.08</v>
      </c>
      <c r="F14" s="38">
        <f t="shared" si="1"/>
        <v>3788.7321768973043</v>
      </c>
      <c r="H14" s="34">
        <f t="shared" si="6"/>
        <v>68358.485409806279</v>
      </c>
      <c r="I14" s="33">
        <v>21</v>
      </c>
      <c r="J14" s="34">
        <f t="shared" si="2"/>
        <v>968.41187663892242</v>
      </c>
      <c r="K14" s="36">
        <f t="shared" si="7"/>
        <v>6108.08</v>
      </c>
      <c r="L14" s="34">
        <f t="shared" si="3"/>
        <v>5139.668123361078</v>
      </c>
      <c r="M14" s="40"/>
      <c r="N14" s="50"/>
      <c r="O14" s="51"/>
    </row>
    <row r="15" spans="1:17" x14ac:dyDescent="0.25">
      <c r="B15" s="34"/>
      <c r="C15" s="33"/>
      <c r="D15" s="34">
        <f t="shared" si="0"/>
        <v>0</v>
      </c>
      <c r="E15" s="36">
        <f t="shared" si="5"/>
        <v>6108.08</v>
      </c>
      <c r="F15" s="34">
        <f t="shared" si="1"/>
        <v>6108.08</v>
      </c>
      <c r="H15" s="34">
        <f t="shared" si="6"/>
        <v>63218.817286445199</v>
      </c>
      <c r="I15" s="33">
        <v>22</v>
      </c>
      <c r="J15" s="34">
        <f t="shared" si="2"/>
        <v>895.59991155797377</v>
      </c>
      <c r="K15" s="36">
        <f t="shared" si="7"/>
        <v>6108.08</v>
      </c>
      <c r="L15" s="34">
        <f t="shared" si="3"/>
        <v>5212.4800884420265</v>
      </c>
      <c r="M15" s="40"/>
      <c r="N15" s="50"/>
      <c r="O15" s="51"/>
    </row>
    <row r="16" spans="1:17" x14ac:dyDescent="0.25">
      <c r="B16" s="34"/>
      <c r="C16" s="33"/>
      <c r="D16" s="34">
        <f t="shared" si="0"/>
        <v>0</v>
      </c>
      <c r="E16" s="36">
        <f t="shared" ref="E16:E25" si="8">$E$4</f>
        <v>6108.08</v>
      </c>
      <c r="F16" s="34">
        <f t="shared" si="1"/>
        <v>6108.08</v>
      </c>
      <c r="H16" s="34">
        <f t="shared" si="6"/>
        <v>58006.337198003173</v>
      </c>
      <c r="I16" s="33">
        <v>23</v>
      </c>
      <c r="J16" s="34">
        <f t="shared" si="2"/>
        <v>821.7564436383783</v>
      </c>
      <c r="K16" s="36">
        <f t="shared" si="7"/>
        <v>6108.08</v>
      </c>
      <c r="L16" s="34">
        <f t="shared" si="3"/>
        <v>5286.3235563616217</v>
      </c>
      <c r="M16" s="40"/>
      <c r="N16" s="50"/>
      <c r="O16" s="51"/>
    </row>
    <row r="17" spans="2:15" x14ac:dyDescent="0.25">
      <c r="B17" s="34"/>
      <c r="C17" s="33"/>
      <c r="D17" s="34">
        <f t="shared" si="0"/>
        <v>0</v>
      </c>
      <c r="E17" s="36">
        <f t="shared" si="8"/>
        <v>6108.08</v>
      </c>
      <c r="F17" s="34">
        <f t="shared" si="1"/>
        <v>6108.08</v>
      </c>
      <c r="H17" s="34">
        <f t="shared" si="6"/>
        <v>52720.013641641548</v>
      </c>
      <c r="I17" s="33">
        <v>24</v>
      </c>
      <c r="J17" s="34">
        <f t="shared" si="2"/>
        <v>746.86685992325522</v>
      </c>
      <c r="K17" s="36">
        <f t="shared" si="7"/>
        <v>6108.08</v>
      </c>
      <c r="L17" s="34">
        <f t="shared" si="3"/>
        <v>5361.2131400767448</v>
      </c>
      <c r="M17" s="40"/>
      <c r="N17" s="50"/>
      <c r="O17" s="51"/>
    </row>
    <row r="18" spans="2:15" x14ac:dyDescent="0.25">
      <c r="B18" s="34"/>
      <c r="C18" s="33"/>
      <c r="D18" s="34">
        <f t="shared" si="0"/>
        <v>0</v>
      </c>
      <c r="E18" s="36">
        <f t="shared" si="8"/>
        <v>6108.08</v>
      </c>
      <c r="F18" s="34">
        <f t="shared" si="1"/>
        <v>6108.08</v>
      </c>
      <c r="H18" s="34">
        <f t="shared" si="6"/>
        <v>47358.800501564801</v>
      </c>
      <c r="I18" s="33">
        <v>25</v>
      </c>
      <c r="J18" s="34">
        <f t="shared" si="2"/>
        <v>670.91634043883471</v>
      </c>
      <c r="K18" s="36">
        <f t="shared" si="7"/>
        <v>6108.08</v>
      </c>
      <c r="L18" s="34">
        <f t="shared" si="3"/>
        <v>5437.1636595611653</v>
      </c>
      <c r="M18" s="40"/>
      <c r="N18" s="50"/>
      <c r="O18" s="51"/>
    </row>
    <row r="19" spans="2:15" x14ac:dyDescent="0.25">
      <c r="B19" s="34"/>
      <c r="C19" s="33"/>
      <c r="D19" s="34">
        <f t="shared" si="0"/>
        <v>0</v>
      </c>
      <c r="E19" s="36">
        <f t="shared" si="8"/>
        <v>6108.08</v>
      </c>
      <c r="F19" s="34">
        <f t="shared" si="1"/>
        <v>6108.08</v>
      </c>
      <c r="H19" s="34">
        <f t="shared" si="6"/>
        <v>41921.636842003638</v>
      </c>
      <c r="I19" s="33">
        <v>26</v>
      </c>
      <c r="J19" s="34">
        <f t="shared" si="2"/>
        <v>593.88985526171825</v>
      </c>
      <c r="K19" s="36">
        <f t="shared" si="7"/>
        <v>6108.08</v>
      </c>
      <c r="L19" s="34">
        <f t="shared" si="3"/>
        <v>5514.1901447382816</v>
      </c>
      <c r="M19" s="40"/>
      <c r="N19" s="50"/>
      <c r="O19" s="51"/>
    </row>
    <row r="20" spans="2:15" x14ac:dyDescent="0.25">
      <c r="B20" s="34"/>
      <c r="C20" s="33"/>
      <c r="D20" s="34">
        <f t="shared" si="0"/>
        <v>0</v>
      </c>
      <c r="E20" s="36">
        <f t="shared" si="8"/>
        <v>6108.08</v>
      </c>
      <c r="F20" s="34">
        <f t="shared" si="1"/>
        <v>6108.08</v>
      </c>
      <c r="H20" s="34">
        <f t="shared" si="6"/>
        <v>36407.446697265354</v>
      </c>
      <c r="I20" s="33">
        <v>27</v>
      </c>
      <c r="J20" s="34">
        <f t="shared" si="2"/>
        <v>515.77216154459256</v>
      </c>
      <c r="K20" s="36">
        <f t="shared" si="7"/>
        <v>6108.08</v>
      </c>
      <c r="L20" s="34">
        <f t="shared" si="3"/>
        <v>5592.3078384554074</v>
      </c>
      <c r="M20" s="40"/>
      <c r="N20" s="52"/>
      <c r="O20" s="53"/>
    </row>
    <row r="21" spans="2:15" x14ac:dyDescent="0.25">
      <c r="B21" s="34"/>
      <c r="C21" s="33"/>
      <c r="D21" s="34">
        <f t="shared" si="0"/>
        <v>0</v>
      </c>
      <c r="E21" s="36">
        <f t="shared" si="8"/>
        <v>6108.08</v>
      </c>
      <c r="F21" s="34">
        <f t="shared" si="1"/>
        <v>6108.08</v>
      </c>
      <c r="H21" s="34">
        <f t="shared" si="6"/>
        <v>30815.138858809947</v>
      </c>
      <c r="I21" s="33">
        <v>28</v>
      </c>
      <c r="J21" s="34">
        <f t="shared" si="2"/>
        <v>436.54780049980764</v>
      </c>
      <c r="K21" s="36">
        <f t="shared" si="7"/>
        <v>6108.08</v>
      </c>
      <c r="L21" s="34">
        <f t="shared" si="3"/>
        <v>5671.5321995001923</v>
      </c>
      <c r="M21" s="40"/>
    </row>
    <row r="22" spans="2:15" x14ac:dyDescent="0.25">
      <c r="B22" s="34"/>
      <c r="C22" s="33"/>
      <c r="D22" s="34">
        <f t="shared" si="0"/>
        <v>0</v>
      </c>
      <c r="E22" s="36">
        <f t="shared" si="8"/>
        <v>6108.08</v>
      </c>
      <c r="F22" s="34">
        <f t="shared" si="1"/>
        <v>6108.08</v>
      </c>
      <c r="H22" s="34">
        <f t="shared" si="6"/>
        <v>25143.606659309757</v>
      </c>
      <c r="I22" s="33">
        <v>29</v>
      </c>
      <c r="J22" s="34">
        <f t="shared" si="2"/>
        <v>356.20109434022157</v>
      </c>
      <c r="K22" s="36">
        <f t="shared" si="7"/>
        <v>6108.08</v>
      </c>
      <c r="L22" s="34">
        <f t="shared" si="3"/>
        <v>5751.878905659778</v>
      </c>
      <c r="M22" s="40"/>
    </row>
    <row r="23" spans="2:15" x14ac:dyDescent="0.25">
      <c r="B23" s="34"/>
      <c r="C23" s="33"/>
      <c r="D23" s="34">
        <f t="shared" si="0"/>
        <v>0</v>
      </c>
      <c r="E23" s="36">
        <f t="shared" si="8"/>
        <v>6108.08</v>
      </c>
      <c r="F23" s="34">
        <f t="shared" si="1"/>
        <v>6108.08</v>
      </c>
      <c r="H23" s="34">
        <f t="shared" si="6"/>
        <v>19391.727753649979</v>
      </c>
      <c r="I23" s="33">
        <v>30</v>
      </c>
      <c r="J23" s="34">
        <f t="shared" si="2"/>
        <v>274.71614317670804</v>
      </c>
      <c r="K23" s="36">
        <f t="shared" si="7"/>
        <v>6108.08</v>
      </c>
      <c r="L23" s="34">
        <f t="shared" si="3"/>
        <v>5833.3638568232918</v>
      </c>
      <c r="M23" s="40"/>
    </row>
    <row r="24" spans="2:15" x14ac:dyDescent="0.25">
      <c r="B24" s="34"/>
      <c r="C24" s="33"/>
      <c r="D24" s="34">
        <f t="shared" si="0"/>
        <v>0</v>
      </c>
      <c r="E24" s="36">
        <f t="shared" si="8"/>
        <v>6108.08</v>
      </c>
      <c r="F24" s="34">
        <f t="shared" ref="F24:F39" si="9">E24-D24</f>
        <v>6108.08</v>
      </c>
      <c r="H24" s="34">
        <f t="shared" si="6"/>
        <v>13558.363896826686</v>
      </c>
      <c r="I24" s="33">
        <v>31</v>
      </c>
      <c r="J24" s="34">
        <f t="shared" si="2"/>
        <v>192.07682187171142</v>
      </c>
      <c r="K24" s="36">
        <f t="shared" si="7"/>
        <v>6108.08</v>
      </c>
      <c r="L24" s="34">
        <f t="shared" si="3"/>
        <v>5916.0031781282887</v>
      </c>
      <c r="M24" s="40"/>
      <c r="N24" s="25">
        <f>36-10</f>
        <v>26</v>
      </c>
    </row>
    <row r="25" spans="2:15" x14ac:dyDescent="0.25">
      <c r="B25" s="34"/>
      <c r="C25" s="33"/>
      <c r="D25" s="34">
        <f t="shared" si="0"/>
        <v>0</v>
      </c>
      <c r="E25" s="36">
        <f t="shared" si="8"/>
        <v>6108.08</v>
      </c>
      <c r="F25" s="34">
        <f t="shared" si="9"/>
        <v>6108.08</v>
      </c>
      <c r="H25" s="34">
        <f t="shared" si="6"/>
        <v>7642.3607186983972</v>
      </c>
      <c r="I25" s="33">
        <v>32</v>
      </c>
      <c r="J25" s="34">
        <f t="shared" si="2"/>
        <v>108.26677684822731</v>
      </c>
      <c r="K25" s="36">
        <f t="shared" si="7"/>
        <v>6108.08</v>
      </c>
      <c r="L25" s="34">
        <f t="shared" si="3"/>
        <v>5999.8132231517729</v>
      </c>
      <c r="M25" s="40"/>
    </row>
    <row r="26" spans="2:15" x14ac:dyDescent="0.25">
      <c r="B26" s="34"/>
      <c r="C26" s="33"/>
      <c r="D26" s="34">
        <f t="shared" si="0"/>
        <v>0</v>
      </c>
      <c r="E26" s="36">
        <f t="shared" ref="E26:E39" si="10">$E$4</f>
        <v>6108.08</v>
      </c>
      <c r="F26" s="34">
        <f t="shared" si="9"/>
        <v>6108.08</v>
      </c>
      <c r="H26" s="34">
        <f t="shared" si="6"/>
        <v>1642.5474955466243</v>
      </c>
      <c r="I26" s="33">
        <v>33</v>
      </c>
      <c r="J26" s="34">
        <f t="shared" si="2"/>
        <v>23.269422853577179</v>
      </c>
      <c r="K26" s="36">
        <f t="shared" si="7"/>
        <v>6108.08</v>
      </c>
      <c r="L26" s="34">
        <f t="shared" si="3"/>
        <v>6084.8105771464225</v>
      </c>
      <c r="M26" s="40"/>
    </row>
    <row r="27" spans="2:15" x14ac:dyDescent="0.25">
      <c r="B27" s="34"/>
      <c r="C27" s="33"/>
      <c r="D27" s="34">
        <f t="shared" si="0"/>
        <v>0</v>
      </c>
      <c r="E27" s="36">
        <f t="shared" si="10"/>
        <v>6108.08</v>
      </c>
      <c r="F27" s="34">
        <f t="shared" si="9"/>
        <v>6108.08</v>
      </c>
      <c r="H27" s="34">
        <f t="shared" si="6"/>
        <v>-4442.2630815997982</v>
      </c>
      <c r="I27" s="33">
        <v>34</v>
      </c>
      <c r="J27" s="34">
        <f t="shared" si="2"/>
        <v>-62.932060322663808</v>
      </c>
      <c r="K27" s="36">
        <f t="shared" si="7"/>
        <v>6108.08</v>
      </c>
      <c r="L27" s="34">
        <f t="shared" si="3"/>
        <v>6171.0120603226642</v>
      </c>
      <c r="M27" s="40"/>
    </row>
    <row r="28" spans="2:15" x14ac:dyDescent="0.25">
      <c r="B28" s="34"/>
      <c r="C28" s="33"/>
      <c r="D28" s="34">
        <f t="shared" si="0"/>
        <v>0</v>
      </c>
      <c r="E28" s="36">
        <f t="shared" si="10"/>
        <v>6108.08</v>
      </c>
      <c r="F28" s="34">
        <f t="shared" si="9"/>
        <v>6108.08</v>
      </c>
      <c r="H28" s="34">
        <f t="shared" si="6"/>
        <v>-10613.275141922462</v>
      </c>
      <c r="I28" s="33">
        <v>35</v>
      </c>
      <c r="J28" s="34">
        <f t="shared" si="2"/>
        <v>-150.3547311772349</v>
      </c>
      <c r="K28" s="36">
        <f t="shared" si="7"/>
        <v>6108.08</v>
      </c>
      <c r="L28" s="34">
        <f t="shared" si="3"/>
        <v>6258.4347311772344</v>
      </c>
      <c r="M28" s="40"/>
    </row>
    <row r="29" spans="2:15" x14ac:dyDescent="0.25">
      <c r="B29" s="34"/>
      <c r="C29" s="33"/>
      <c r="D29" s="34">
        <f t="shared" si="0"/>
        <v>0</v>
      </c>
      <c r="E29" s="36">
        <f t="shared" si="10"/>
        <v>6108.08</v>
      </c>
      <c r="F29" s="34">
        <f t="shared" si="9"/>
        <v>6108.08</v>
      </c>
      <c r="H29" s="34">
        <f t="shared" si="6"/>
        <v>-16871.709873099695</v>
      </c>
      <c r="I29" s="33">
        <v>36</v>
      </c>
      <c r="J29" s="34">
        <f t="shared" si="2"/>
        <v>-239.01588986891235</v>
      </c>
      <c r="K29" s="36">
        <f t="shared" si="7"/>
        <v>6108.08</v>
      </c>
      <c r="L29" s="34">
        <f t="shared" si="3"/>
        <v>6347.0958898689123</v>
      </c>
      <c r="M29" s="40"/>
    </row>
    <row r="30" spans="2:15" x14ac:dyDescent="0.25">
      <c r="B30" s="34"/>
      <c r="C30" s="33"/>
      <c r="D30" s="34">
        <f t="shared" si="0"/>
        <v>0</v>
      </c>
      <c r="E30" s="36">
        <f t="shared" si="10"/>
        <v>6108.08</v>
      </c>
      <c r="F30" s="34">
        <f t="shared" si="9"/>
        <v>6108.08</v>
      </c>
      <c r="H30" s="34"/>
      <c r="I30" s="33"/>
      <c r="J30" s="34">
        <f t="shared" si="2"/>
        <v>0</v>
      </c>
      <c r="K30" s="36"/>
      <c r="L30" s="34"/>
      <c r="M30" s="40"/>
    </row>
    <row r="31" spans="2:15" x14ac:dyDescent="0.25">
      <c r="B31" s="34"/>
      <c r="C31" s="33"/>
      <c r="D31" s="34">
        <f t="shared" si="0"/>
        <v>0</v>
      </c>
      <c r="E31" s="36">
        <f t="shared" si="10"/>
        <v>6108.08</v>
      </c>
      <c r="F31" s="34">
        <f t="shared" si="9"/>
        <v>6108.08</v>
      </c>
      <c r="H31" s="34"/>
      <c r="I31" s="33"/>
      <c r="J31" s="34">
        <f t="shared" si="2"/>
        <v>0</v>
      </c>
      <c r="K31" s="36"/>
      <c r="L31" s="34"/>
      <c r="M31" s="40"/>
    </row>
    <row r="32" spans="2:15" x14ac:dyDescent="0.25">
      <c r="B32" s="34"/>
      <c r="C32" s="33"/>
      <c r="D32" s="34">
        <f t="shared" si="0"/>
        <v>0</v>
      </c>
      <c r="E32" s="36">
        <f t="shared" si="10"/>
        <v>6108.08</v>
      </c>
      <c r="F32" s="34">
        <f t="shared" si="9"/>
        <v>6108.08</v>
      </c>
      <c r="H32" s="34"/>
      <c r="I32" s="33"/>
      <c r="J32" s="34">
        <f t="shared" si="2"/>
        <v>0</v>
      </c>
      <c r="K32" s="36"/>
      <c r="L32" s="34"/>
      <c r="M32" s="40"/>
    </row>
    <row r="33" spans="2:13" x14ac:dyDescent="0.25">
      <c r="B33" s="34"/>
      <c r="C33" s="33"/>
      <c r="D33" s="34">
        <f t="shared" si="0"/>
        <v>0</v>
      </c>
      <c r="E33" s="36">
        <f t="shared" si="10"/>
        <v>6108.08</v>
      </c>
      <c r="F33" s="34">
        <f t="shared" si="9"/>
        <v>6108.08</v>
      </c>
      <c r="H33" s="34"/>
      <c r="I33" s="33"/>
      <c r="J33" s="34">
        <f t="shared" si="2"/>
        <v>0</v>
      </c>
      <c r="K33" s="36"/>
      <c r="L33" s="34"/>
      <c r="M33" s="40"/>
    </row>
    <row r="34" spans="2:13" x14ac:dyDescent="0.25">
      <c r="B34" s="34"/>
      <c r="C34" s="33"/>
      <c r="D34" s="34">
        <f t="shared" si="0"/>
        <v>0</v>
      </c>
      <c r="E34" s="36">
        <f t="shared" si="10"/>
        <v>6108.08</v>
      </c>
      <c r="F34" s="34">
        <f t="shared" si="9"/>
        <v>6108.08</v>
      </c>
      <c r="H34" s="34"/>
      <c r="I34" s="33"/>
      <c r="J34" s="34">
        <f t="shared" si="2"/>
        <v>0</v>
      </c>
      <c r="K34" s="36"/>
      <c r="L34" s="34"/>
      <c r="M34" s="40"/>
    </row>
    <row r="35" spans="2:13" x14ac:dyDescent="0.25">
      <c r="B35" s="34"/>
      <c r="C35" s="33"/>
      <c r="D35" s="34">
        <f t="shared" si="0"/>
        <v>0</v>
      </c>
      <c r="E35" s="36">
        <f t="shared" si="10"/>
        <v>6108.08</v>
      </c>
      <c r="F35" s="34">
        <f t="shared" si="9"/>
        <v>6108.08</v>
      </c>
      <c r="H35" s="34"/>
      <c r="I35" s="33"/>
      <c r="J35" s="34">
        <f t="shared" si="2"/>
        <v>0</v>
      </c>
      <c r="K35" s="36"/>
      <c r="L35" s="34"/>
      <c r="M35" s="40"/>
    </row>
    <row r="36" spans="2:13" x14ac:dyDescent="0.25">
      <c r="B36" s="34"/>
      <c r="C36" s="33"/>
      <c r="D36" s="34">
        <f t="shared" si="0"/>
        <v>0</v>
      </c>
      <c r="E36" s="36">
        <f t="shared" si="10"/>
        <v>6108.08</v>
      </c>
      <c r="F36" s="34">
        <f t="shared" si="9"/>
        <v>6108.08</v>
      </c>
      <c r="H36" s="34"/>
      <c r="I36" s="33"/>
      <c r="J36" s="34">
        <f t="shared" si="2"/>
        <v>0</v>
      </c>
      <c r="K36" s="36"/>
      <c r="L36" s="34"/>
      <c r="M36" s="40"/>
    </row>
    <row r="37" spans="2:13" x14ac:dyDescent="0.25">
      <c r="B37" s="34"/>
      <c r="C37" s="33"/>
      <c r="D37" s="34">
        <f t="shared" si="0"/>
        <v>0</v>
      </c>
      <c r="E37" s="36">
        <f t="shared" si="10"/>
        <v>6108.08</v>
      </c>
      <c r="F37" s="34">
        <f t="shared" si="9"/>
        <v>6108.08</v>
      </c>
      <c r="H37" s="34"/>
      <c r="I37" s="33"/>
      <c r="J37" s="34">
        <f t="shared" si="2"/>
        <v>0</v>
      </c>
      <c r="K37" s="36"/>
      <c r="L37" s="34"/>
      <c r="M37" s="40"/>
    </row>
    <row r="38" spans="2:13" x14ac:dyDescent="0.25">
      <c r="B38" s="34"/>
      <c r="C38" s="33"/>
      <c r="D38" s="34">
        <f t="shared" si="0"/>
        <v>0</v>
      </c>
      <c r="E38" s="36">
        <f t="shared" si="10"/>
        <v>6108.08</v>
      </c>
      <c r="F38" s="34">
        <f t="shared" si="9"/>
        <v>6108.08</v>
      </c>
      <c r="H38" s="34"/>
      <c r="I38" s="33"/>
      <c r="J38" s="34">
        <f t="shared" si="2"/>
        <v>0</v>
      </c>
      <c r="K38" s="36"/>
      <c r="L38" s="34"/>
      <c r="M38" s="40"/>
    </row>
    <row r="39" spans="2:13" x14ac:dyDescent="0.25">
      <c r="B39" s="34"/>
      <c r="C39" s="33"/>
      <c r="D39" s="34">
        <f t="shared" si="0"/>
        <v>0</v>
      </c>
      <c r="E39" s="36">
        <f t="shared" si="10"/>
        <v>6108.08</v>
      </c>
      <c r="F39" s="34">
        <f t="shared" si="9"/>
        <v>6108.08</v>
      </c>
      <c r="H39" s="34"/>
      <c r="I39" s="33"/>
      <c r="J39" s="34">
        <f t="shared" si="2"/>
        <v>0</v>
      </c>
      <c r="K39" s="36"/>
      <c r="L39" s="34"/>
      <c r="M39" s="40"/>
    </row>
    <row r="41" spans="2:13" x14ac:dyDescent="0.25">
      <c r="C41" s="33" t="s">
        <v>29</v>
      </c>
      <c r="D41" s="34">
        <f>SUM(D4:D13)</f>
        <v>27048.191155134762</v>
      </c>
      <c r="E41" s="25">
        <f>SUM(E4:E13)</f>
        <v>61080.80000000001</v>
      </c>
      <c r="I41" s="33" t="s">
        <v>29</v>
      </c>
      <c r="J41" s="34">
        <f>SUM(J4:J26)</f>
        <v>20076.185763265214</v>
      </c>
    </row>
    <row r="42" spans="2:13" x14ac:dyDescent="0.25">
      <c r="E42" s="3"/>
    </row>
    <row r="43" spans="2:13" x14ac:dyDescent="0.25">
      <c r="E43" s="3">
        <f>E39*36</f>
        <v>219890.88</v>
      </c>
    </row>
    <row r="44" spans="2:13" x14ac:dyDescent="0.25">
      <c r="C44" s="3"/>
      <c r="E44" s="3"/>
    </row>
    <row r="45" spans="2:13" ht="57.6" x14ac:dyDescent="0.25">
      <c r="C45" s="3"/>
      <c r="E45" s="3" t="s">
        <v>30</v>
      </c>
      <c r="F45" s="3">
        <f>E43-E41-H4</f>
        <v>42842.688844864984</v>
      </c>
    </row>
    <row r="46" spans="2:13" x14ac:dyDescent="0.25">
      <c r="E46" s="3"/>
    </row>
    <row r="47" spans="2:13" ht="72" x14ac:dyDescent="0.25">
      <c r="E47" s="3" t="s">
        <v>31</v>
      </c>
      <c r="F47" s="3">
        <f>E43-E41-H4-J41</f>
        <v>22766.503081599771</v>
      </c>
    </row>
    <row r="48" spans="2:13" x14ac:dyDescent="0.25">
      <c r="E48" s="3"/>
    </row>
    <row r="49" spans="5:5" x14ac:dyDescent="0.25">
      <c r="E49" s="3"/>
    </row>
  </sheetData>
  <mergeCells count="4">
    <mergeCell ref="B1:F1"/>
    <mergeCell ref="H1:L1"/>
    <mergeCell ref="N10:O10"/>
    <mergeCell ref="N13:O20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4506668294322"/>
  </sheetPr>
  <dimension ref="A1:G7"/>
  <sheetViews>
    <sheetView workbookViewId="0">
      <selection activeCell="E20" sqref="E20"/>
    </sheetView>
  </sheetViews>
  <sheetFormatPr defaultColWidth="11.44140625" defaultRowHeight="14.4" x14ac:dyDescent="0.25"/>
  <cols>
    <col min="1" max="1" width="13.33203125" style="1" customWidth="1"/>
    <col min="2" max="2" width="11.44140625" style="1" customWidth="1"/>
    <col min="3" max="3" width="14.109375" style="1" customWidth="1"/>
    <col min="4" max="4" width="11.44140625" style="1" customWidth="1"/>
    <col min="5" max="16384" width="11.44140625" style="1"/>
  </cols>
  <sheetData>
    <row r="1" spans="1:7" ht="25.5" customHeight="1" x14ac:dyDescent="0.25">
      <c r="A1" s="54" t="s">
        <v>32</v>
      </c>
      <c r="B1" s="54"/>
      <c r="C1" s="54"/>
      <c r="D1" s="54"/>
      <c r="E1" s="54"/>
      <c r="F1" s="57" t="s">
        <v>33</v>
      </c>
      <c r="G1" s="57"/>
    </row>
    <row r="2" spans="1:7" ht="21.9" customHeight="1" x14ac:dyDescent="0.25">
      <c r="A2" s="55" t="s">
        <v>34</v>
      </c>
      <c r="B2" s="56"/>
      <c r="C2" s="56"/>
      <c r="D2" s="56"/>
      <c r="E2" s="56"/>
      <c r="F2" s="57"/>
      <c r="G2" s="57"/>
    </row>
    <row r="3" spans="1:7" x14ac:dyDescent="0.25">
      <c r="A3" s="21" t="s">
        <v>35</v>
      </c>
      <c r="B3" s="21" t="s">
        <v>36</v>
      </c>
      <c r="C3" s="21" t="s">
        <v>37</v>
      </c>
      <c r="D3" s="21" t="s">
        <v>38</v>
      </c>
      <c r="E3" s="21" t="s">
        <v>39</v>
      </c>
    </row>
    <row r="4" spans="1:7" x14ac:dyDescent="0.25">
      <c r="A4" s="22">
        <v>176284.79567514901</v>
      </c>
      <c r="B4" s="23">
        <v>0.24</v>
      </c>
      <c r="C4" s="9">
        <v>12</v>
      </c>
      <c r="D4" s="22">
        <v>1</v>
      </c>
      <c r="E4" s="10">
        <f>A4*B4/C4*D4</f>
        <v>3525.6959135029797</v>
      </c>
    </row>
    <row r="5" spans="1:7" x14ac:dyDescent="0.25">
      <c r="A5" s="22">
        <v>176284.79567514901</v>
      </c>
      <c r="B5" s="23">
        <v>0.17</v>
      </c>
      <c r="C5" s="9">
        <v>12</v>
      </c>
      <c r="D5" s="22">
        <v>1</v>
      </c>
      <c r="E5" s="10">
        <f>A5*B5/C5*D5</f>
        <v>2497.3679387312777</v>
      </c>
    </row>
    <row r="7" spans="1:7" x14ac:dyDescent="0.25">
      <c r="B7" s="24"/>
    </row>
  </sheetData>
  <mergeCells count="3">
    <mergeCell ref="A1:E1"/>
    <mergeCell ref="A2:E2"/>
    <mergeCell ref="F1:G2"/>
  </mergeCells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tabSelected="1" topLeftCell="A10" workbookViewId="0">
      <selection activeCell="Q16" sqref="Q16"/>
    </sheetView>
  </sheetViews>
  <sheetFormatPr defaultColWidth="9" defaultRowHeight="14.4" x14ac:dyDescent="0.25"/>
  <cols>
    <col min="1" max="1" width="10.88671875" style="1" customWidth="1"/>
    <col min="2" max="2" width="10.33203125" style="1"/>
    <col min="3" max="3" width="11.6640625" style="1" customWidth="1"/>
    <col min="4" max="4" width="10.33203125" style="1"/>
    <col min="5" max="5" width="12.77734375" style="2" hidden="1" customWidth="1"/>
    <col min="6" max="6" width="12.6640625" style="3" customWidth="1"/>
    <col min="7" max="7" width="12.77734375" style="3" customWidth="1"/>
    <col min="8" max="9" width="9" style="1"/>
    <col min="10" max="10" width="7.44140625" style="1" customWidth="1"/>
    <col min="11" max="11" width="20.109375" style="1" customWidth="1"/>
    <col min="12" max="12" width="12.44140625" style="1" customWidth="1"/>
    <col min="13" max="16384" width="9" style="1"/>
  </cols>
  <sheetData>
    <row r="1" spans="1:12" ht="31.5" customHeight="1" x14ac:dyDescent="0.25">
      <c r="A1" s="4"/>
      <c r="B1" s="5" t="s">
        <v>40</v>
      </c>
      <c r="C1" s="5" t="s">
        <v>41</v>
      </c>
      <c r="D1" s="5" t="s">
        <v>42</v>
      </c>
      <c r="E1" s="6" t="s">
        <v>43</v>
      </c>
      <c r="F1" s="7" t="s">
        <v>44</v>
      </c>
      <c r="G1" s="7" t="s">
        <v>45</v>
      </c>
      <c r="H1" s="5" t="s">
        <v>46</v>
      </c>
      <c r="I1" s="16" t="s">
        <v>47</v>
      </c>
      <c r="J1" s="5" t="s">
        <v>48</v>
      </c>
      <c r="K1" s="5" t="s">
        <v>49</v>
      </c>
      <c r="L1" s="17" t="s">
        <v>50</v>
      </c>
    </row>
    <row r="2" spans="1:12" x14ac:dyDescent="0.25">
      <c r="A2" s="60" t="s">
        <v>52</v>
      </c>
      <c r="B2" s="9">
        <f>客户方案计算表!E4*36</f>
        <v>219890.88</v>
      </c>
      <c r="C2" s="9">
        <f>客户方案计算表!B4</f>
        <v>150000</v>
      </c>
      <c r="D2" s="9">
        <v>36</v>
      </c>
      <c r="E2" s="10">
        <f>客户方案计算表!E4</f>
        <v>6108.08</v>
      </c>
      <c r="F2" s="11">
        <v>10</v>
      </c>
      <c r="G2" s="11">
        <v>26</v>
      </c>
      <c r="H2" s="9">
        <v>10</v>
      </c>
      <c r="I2" s="9">
        <v>26</v>
      </c>
      <c r="J2" s="9">
        <v>0</v>
      </c>
      <c r="K2" s="10">
        <f>客户方案计算表!D41+客户方案计算表!J41</f>
        <v>47124.376918399976</v>
      </c>
      <c r="L2" s="18">
        <f>B2-C2-K2</f>
        <v>22766.503081600029</v>
      </c>
    </row>
    <row r="3" spans="1:12" x14ac:dyDescent="0.25">
      <c r="A3" s="8"/>
      <c r="B3" s="9"/>
      <c r="C3" s="9"/>
      <c r="D3" s="9"/>
      <c r="E3" s="10"/>
      <c r="F3" s="11"/>
      <c r="G3" s="11"/>
      <c r="H3" s="9"/>
      <c r="I3" s="9"/>
      <c r="J3" s="9"/>
      <c r="K3" s="9"/>
      <c r="L3" s="19"/>
    </row>
    <row r="4" spans="1:12" x14ac:dyDescent="0.25">
      <c r="A4" s="60" t="s">
        <v>53</v>
      </c>
      <c r="B4" s="9">
        <f>客户方案计算表!E4*36</f>
        <v>219890.88</v>
      </c>
      <c r="C4" s="9">
        <f>客户方案计算表!B4</f>
        <v>150000</v>
      </c>
      <c r="D4" s="9">
        <v>36</v>
      </c>
      <c r="E4" s="10">
        <f>客户方案计算表!E4</f>
        <v>6108.08</v>
      </c>
      <c r="F4" s="11">
        <v>10</v>
      </c>
      <c r="G4" s="11">
        <v>26</v>
      </c>
      <c r="H4" s="9">
        <v>10</v>
      </c>
      <c r="I4" s="9">
        <v>26</v>
      </c>
      <c r="J4" s="9">
        <v>0</v>
      </c>
      <c r="K4" s="10">
        <f>客户方案计算表!D41</f>
        <v>27048.191155134762</v>
      </c>
      <c r="L4" s="18">
        <f>B4-C4-K4</f>
        <v>42842.688844865246</v>
      </c>
    </row>
    <row r="5" spans="1:12" x14ac:dyDescent="0.25">
      <c r="A5" s="12"/>
      <c r="B5" s="13"/>
      <c r="C5" s="13"/>
      <c r="D5" s="13"/>
      <c r="E5" s="14"/>
      <c r="F5" s="15"/>
      <c r="G5" s="15"/>
      <c r="H5" s="13"/>
      <c r="I5" s="13"/>
      <c r="J5" s="13"/>
      <c r="K5" s="13"/>
      <c r="L5" s="20"/>
    </row>
    <row r="6" spans="1:12" x14ac:dyDescent="0.25">
      <c r="A6" s="61" t="s">
        <v>51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</row>
    <row r="7" spans="1:12" x14ac:dyDescent="0.25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</row>
    <row r="8" spans="1:12" x14ac:dyDescent="0.25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</row>
    <row r="9" spans="1:12" x14ac:dyDescent="0.25">
      <c r="A9" s="62"/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</row>
    <row r="10" spans="1:12" x14ac:dyDescent="0.25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</row>
    <row r="11" spans="1:12" ht="81" customHeight="1" x14ac:dyDescent="0.25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</row>
    <row r="13" spans="1:12" x14ac:dyDescent="0.25">
      <c r="A13" s="63" t="s">
        <v>55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</row>
    <row r="14" spans="1:12" x14ac:dyDescent="0.25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</row>
    <row r="15" spans="1:12" x14ac:dyDescent="0.25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</row>
    <row r="16" spans="1:12" x14ac:dyDescent="0.25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</row>
    <row r="17" spans="1:12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</row>
    <row r="18" spans="1:12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</row>
    <row r="19" spans="1:12" x14ac:dyDescent="0.25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</row>
    <row r="20" spans="1:12" x14ac:dyDescent="0.25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</row>
    <row r="22" spans="1:12" x14ac:dyDescent="0.25">
      <c r="A22" s="63" t="s">
        <v>54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</row>
    <row r="23" spans="1:12" x14ac:dyDescent="0.25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</row>
    <row r="24" spans="1:12" x14ac:dyDescent="0.25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</row>
    <row r="25" spans="1:12" x14ac:dyDescent="0.25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</row>
    <row r="26" spans="1:12" x14ac:dyDescent="0.25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</row>
    <row r="27" spans="1:12" x14ac:dyDescent="0.25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</row>
    <row r="28" spans="1:12" ht="33" customHeight="1" x14ac:dyDescent="0.25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</row>
  </sheetData>
  <mergeCells count="3">
    <mergeCell ref="A6:L11"/>
    <mergeCell ref="A13:L20"/>
    <mergeCell ref="A22:L28"/>
  </mergeCells>
  <phoneticPr fontId="7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H18" sqref="H18"/>
    </sheetView>
  </sheetViews>
  <sheetFormatPr defaultColWidth="9" defaultRowHeight="14.4" x14ac:dyDescent="0.25"/>
  <cols>
    <col min="7" max="7" width="12.6640625"/>
  </cols>
  <sheetData/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客户方案计算表</vt:lpstr>
      <vt:lpstr>逾期利息</vt:lpstr>
      <vt:lpstr>减免计算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Sun-Jackey</dc:creator>
  <cp:lastModifiedBy>Sun-Jackey</cp:lastModifiedBy>
  <dcterms:created xsi:type="dcterms:W3CDTF">2020-09-30T02:40:00Z</dcterms:created>
  <dcterms:modified xsi:type="dcterms:W3CDTF">2021-01-04T07:32:50Z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