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048" windowHeight="14340"/>
  </bookViews>
  <sheets>
    <sheet name="客户方案计算表" sheetId="1" r:id="rId1"/>
    <sheet name="逾期利息" sheetId="2" r:id="rId2"/>
    <sheet name="减免计算" sheetId="3" r:id="rId3"/>
    <sheet name="Sheet1" sheetId="4" r:id="rId4"/>
  </sheets>
  <calcPr calcId="144525"/>
</workbook>
</file>

<file path=xl/sharedStrings.xml><?xml version="1.0" encoding="utf-8"?>
<sst xmlns="http://schemas.openxmlformats.org/spreadsheetml/2006/main" count="87" uniqueCount="72">
  <si>
    <t>2020.8.19日及之前的利率核算表</t>
  </si>
  <si>
    <t>2020.8.20日及之后的利率核算表</t>
  </si>
  <si>
    <t>使用说明</t>
  </si>
  <si>
    <t>手动填写第一行数据</t>
  </si>
  <si>
    <r>
      <rPr>
        <b/>
        <sz val="11"/>
        <color theme="1"/>
        <rFont val="宋体"/>
        <charset val="134"/>
        <scheme val="minor"/>
      </rPr>
      <t xml:space="preserve">还款期数为2020.8.19日及之前期数
</t>
    </r>
    <r>
      <rPr>
        <sz val="10"/>
        <color rgb="FFFF0000"/>
        <rFont val="宋体"/>
        <charset val="134"/>
        <scheme val="minor"/>
      </rPr>
      <t>此列需要手动填写</t>
    </r>
  </si>
  <si>
    <r>
      <rPr>
        <b/>
        <sz val="11"/>
        <color theme="1"/>
        <rFont val="宋体"/>
        <charset val="134"/>
        <scheme val="minor"/>
      </rPr>
      <t>计息本金*</t>
    </r>
    <r>
      <rPr>
        <b/>
        <sz val="11"/>
        <color theme="1"/>
        <rFont val="宋体"/>
        <charset val="134"/>
        <scheme val="minor"/>
      </rPr>
      <t>24</t>
    </r>
    <r>
      <rPr>
        <b/>
        <sz val="11"/>
        <color theme="1"/>
        <rFont val="宋体"/>
        <charset val="134"/>
        <scheme val="minor"/>
      </rPr>
      <t xml:space="preserve">%/12
</t>
    </r>
    <r>
      <rPr>
        <b/>
        <sz val="11"/>
        <color rgb="FFFF0000"/>
        <rFont val="宋体"/>
        <charset val="134"/>
        <scheme val="minor"/>
      </rPr>
      <t>此列为公式,不要修改</t>
    </r>
  </si>
  <si>
    <r>
      <rPr>
        <b/>
        <sz val="11"/>
        <color theme="1"/>
        <rFont val="宋体"/>
        <charset val="134"/>
        <scheme val="minor"/>
      </rPr>
      <t xml:space="preserve">与签订合同保持一致
</t>
    </r>
    <r>
      <rPr>
        <sz val="10"/>
        <color rgb="FFFF0000"/>
        <rFont val="宋体"/>
        <charset val="134"/>
        <scheme val="minor"/>
      </rPr>
      <t>此列第一格需要手动填写</t>
    </r>
  </si>
  <si>
    <t>此列为公式
不要修改</t>
  </si>
  <si>
    <r>
      <rPr>
        <b/>
        <sz val="11"/>
        <color theme="1"/>
        <rFont val="宋体"/>
        <charset val="134"/>
        <scheme val="minor"/>
      </rPr>
      <t xml:space="preserve">还款期数为2020.8.20日及之后的期数
</t>
    </r>
    <r>
      <rPr>
        <sz val="10"/>
        <color rgb="FFFF0000"/>
        <rFont val="宋体"/>
        <charset val="134"/>
        <scheme val="minor"/>
      </rPr>
      <t>此列需要手动填写</t>
    </r>
  </si>
  <si>
    <r>
      <rPr>
        <b/>
        <sz val="11"/>
        <color theme="1"/>
        <rFont val="宋体"/>
        <charset val="134"/>
        <scheme val="minor"/>
      </rPr>
      <t xml:space="preserve">计息本金*17%/12
</t>
    </r>
    <r>
      <rPr>
        <b/>
        <sz val="11"/>
        <color rgb="FFFF0000"/>
        <rFont val="宋体"/>
        <charset val="134"/>
        <scheme val="minor"/>
      </rPr>
      <t>此列为公式,不要修改</t>
    </r>
  </si>
  <si>
    <t>计息本金</t>
  </si>
  <si>
    <t>还款期数
（合同）</t>
  </si>
  <si>
    <t>每月应还利息金额</t>
  </si>
  <si>
    <t>每月还款金额</t>
  </si>
  <si>
    <t>每月应抵本金</t>
  </si>
  <si>
    <t>数值对应关系</t>
  </si>
  <si>
    <t>解释</t>
  </si>
  <si>
    <t>计息本金=客户实际到账本金，不包含砍头息</t>
  </si>
  <si>
    <r>
      <rPr>
        <sz val="11"/>
        <color theme="1"/>
        <rFont val="宋体"/>
        <charset val="134"/>
        <scheme val="minor"/>
      </rPr>
      <t>每月应还利息=计息本金*1</t>
    </r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%/12</t>
    </r>
  </si>
  <si>
    <r>
      <rPr>
        <sz val="11"/>
        <color theme="1"/>
        <rFont val="宋体"/>
        <charset val="134"/>
        <scheme val="minor"/>
      </rPr>
      <t>每个月客户按1</t>
    </r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%应该还的利息</t>
    </r>
  </si>
  <si>
    <t>每月还款金额=合同约定还款金额</t>
  </si>
  <si>
    <t>每月应抵本金=还款金额-应还利息金额</t>
  </si>
  <si>
    <t>第二期计息本金=客户实际到账本金-应抵本金</t>
  </si>
  <si>
    <r>
      <rPr>
        <sz val="11"/>
        <color theme="1"/>
        <rFont val="宋体"/>
        <charset val="134"/>
        <scheme val="minor"/>
      </rPr>
      <t>逾期利息=剩余本金*1</t>
    </r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%/12*逾期期数</t>
    </r>
  </si>
  <si>
    <t>这个利息直到客户清偿之日为止</t>
  </si>
  <si>
    <r>
      <rPr>
        <sz val="11"/>
        <color theme="1"/>
        <rFont val="宋体"/>
        <charset val="134"/>
        <scheme val="minor"/>
      </rPr>
      <t>客户年化率，按</t>
    </r>
    <r>
      <rPr>
        <b/>
        <sz val="11"/>
        <color rgb="FFFF0000"/>
        <rFont val="宋体"/>
        <charset val="134"/>
        <scheme val="minor"/>
      </rPr>
      <t>鲸算师APP</t>
    </r>
    <r>
      <rPr>
        <sz val="11"/>
        <color theme="1"/>
        <rFont val="宋体"/>
        <charset val="134"/>
        <scheme val="minor"/>
      </rPr>
      <t>进行计算，进入APP后选择贷款利率</t>
    </r>
  </si>
  <si>
    <t>借款总额</t>
  </si>
  <si>
    <t>客户实际到账金额</t>
  </si>
  <si>
    <t>在进行计算时，需要了解客户合同签订时间、还款期数。从签订合同之日起至2020.8.20日，每期年化率按24%核算，2020.8.20日至还款结清月份，每期年化率按17%核算。
表格一测算的是从客户签订合同之日起至2020.8.20日，每期年化率按24%核算的结果；表格二测算的是客户从2020.8.20日至还款结清月份，每期年化率按17%核算的结果</t>
  </si>
  <si>
    <t>已付利息：</t>
  </si>
  <si>
    <t>未付利息：</t>
  </si>
  <si>
    <t>逾期利息</t>
  </si>
  <si>
    <t>最大减免=合同总金额-本金-已还利息-逾期利息</t>
  </si>
  <si>
    <t>最小减免=合同总金额-本金-全部法定利息-逾期利息</t>
  </si>
  <si>
    <t>合同金额</t>
  </si>
  <si>
    <t>本金</t>
  </si>
  <si>
    <t>已还利息</t>
  </si>
  <si>
    <t>逾期6期</t>
  </si>
  <si>
    <t>全部法定利息</t>
  </si>
  <si>
    <t>负数不算</t>
  </si>
  <si>
    <t>最大减免金额</t>
  </si>
  <si>
    <t>最小还款金额</t>
  </si>
  <si>
    <t>最后一次还款日</t>
  </si>
  <si>
    <t>最大减免</t>
  </si>
  <si>
    <t>最小减免</t>
  </si>
  <si>
    <t>应付利息</t>
  </si>
  <si>
    <t>客户情况说明：实际到账金额180000 分期36  每期金额8233.72   已还13期    每月25号还款   最后一次还款2020.12.25  逾期0</t>
  </si>
  <si>
    <t>逾期利息=剩余本金*24%/12*逾期期数</t>
  </si>
  <si>
    <t>绿色为手工填写</t>
  </si>
  <si>
    <r>
      <rPr>
        <b/>
        <sz val="11"/>
        <color theme="1"/>
        <rFont val="宋体"/>
        <charset val="134"/>
        <scheme val="minor"/>
      </rPr>
      <t>逾期利息=剩余本金*17</t>
    </r>
    <r>
      <rPr>
        <b/>
        <sz val="11"/>
        <color theme="1"/>
        <rFont val="宋体"/>
        <charset val="134"/>
        <scheme val="minor"/>
      </rPr>
      <t>%/12*逾期期数</t>
    </r>
  </si>
  <si>
    <t>剩余本金</t>
  </si>
  <si>
    <t>利率</t>
  </si>
  <si>
    <t>12个月</t>
  </si>
  <si>
    <t>逾期期数</t>
  </si>
  <si>
    <t>实际到账</t>
  </si>
  <si>
    <t>分期总数</t>
  </si>
  <si>
    <t>每期金额</t>
  </si>
  <si>
    <t>2020.8.19及之前期数</t>
  </si>
  <si>
    <t>2020.8.20及之后期数</t>
  </si>
  <si>
    <t>已还期数</t>
  </si>
  <si>
    <t>未还期数</t>
  </si>
  <si>
    <t>逾期</t>
  </si>
  <si>
    <t>结果</t>
  </si>
  <si>
    <t>减免最大值</t>
  </si>
  <si>
    <t>减免最小值</t>
  </si>
  <si>
    <t>计算逻辑：
最大减免=合同金额-到账金额-应付利息
合同金额=每期还款*总期数
应付利息=到账金额*24%*（合同签订日期至2020年8月20日的期数）+到账金额*17*（2020年8月20日至客户最后一次还款那个月的期数）
最小减免=合同金额-到账金额-应付利息
应付利息=到账金额*24%*（合同签订日期至2020年8月20日的期数）+到账金额*17*（36-（合同签订日期至2020年8月20日的期数））</t>
  </si>
  <si>
    <t>最大减免=合同金额-已还金额-核算后剩余本金
合同金额=每期还款*总期数
已还金额=每期还款*还款期数
剩余本金=实际到账金额-应付利息-冲销本金
应付利息=到账金额（剩余本金）*24%/12
剩余本金需要逐笔核减计算得出</t>
  </si>
  <si>
    <t>最小减免=合同金额-已还金额-核算后剩余本金-剩余法定利息
合同金额=每期还款*总期数
已还金额=每期还款*还款期数
剩余本金=实际到账金额-应付利息-冲销本金
应付利息=到账金额（剩余本金）*24%/12
剩余本金需要逐笔核减计算得出
剩余法定利息=剩余本金*17%/12*剩余期数
剩余本金需要逐笔核减计算得出</t>
  </si>
  <si>
    <t>借款金额</t>
  </si>
  <si>
    <t>分期期数</t>
  </si>
  <si>
    <t>每期还款金额</t>
  </si>
  <si>
    <t>最后一笔还款时间</t>
  </si>
</sst>
</file>

<file path=xl/styles.xml><?xml version="1.0" encoding="utf-8"?>
<styleSheet xmlns="http://schemas.openxmlformats.org/spreadsheetml/2006/main">
  <numFmts count="9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  <numFmt numFmtId="177" formatCode="0.0;[Red]0.0"/>
    <numFmt numFmtId="178" formatCode="0.00_ "/>
    <numFmt numFmtId="179" formatCode="0.0_ "/>
    <numFmt numFmtId="180" formatCode="0.00;[Red]0.00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0"/>
      <color rgb="FFFF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7" fillId="7" borderId="3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9" borderId="39" applyNumberFormat="0" applyFon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37" applyNumberFormat="0" applyFill="0" applyAlignment="0" applyProtection="0">
      <alignment vertical="center"/>
    </xf>
    <xf numFmtId="0" fontId="8" fillId="0" borderId="37" applyNumberFormat="0" applyFill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2" fillId="0" borderId="38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5" fillId="6" borderId="40" applyNumberFormat="0" applyAlignment="0" applyProtection="0">
      <alignment vertical="center"/>
    </xf>
    <xf numFmtId="0" fontId="4" fillId="6" borderId="36" applyNumberFormat="0" applyAlignment="0" applyProtection="0">
      <alignment vertical="center"/>
    </xf>
    <xf numFmtId="0" fontId="20" fillId="23" borderId="42" applyNumberForma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9" fillId="0" borderId="41" applyNumberFormat="0" applyFill="0" applyAlignment="0" applyProtection="0">
      <alignment vertical="center"/>
    </xf>
    <xf numFmtId="0" fontId="21" fillId="0" borderId="43" applyNumberFormat="0" applyFill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</cellStyleXfs>
  <cellXfs count="101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58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78" fontId="1" fillId="0" borderId="3" xfId="0" applyNumberFormat="1" applyFont="1" applyBorder="1" applyAlignment="1">
      <alignment horizontal="center" vertical="center"/>
    </xf>
    <xf numFmtId="178" fontId="1" fillId="0" borderId="3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8" fontId="0" fillId="0" borderId="10" xfId="0" applyNumberFormat="1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left" vertical="center" wrapText="1"/>
    </xf>
    <xf numFmtId="0" fontId="0" fillId="2" borderId="12" xfId="0" applyFont="1" applyFill="1" applyBorder="1" applyAlignment="1">
      <alignment horizontal="left" vertical="center" wrapText="1"/>
    </xf>
    <xf numFmtId="0" fontId="0" fillId="2" borderId="13" xfId="0" applyFont="1" applyFill="1" applyBorder="1" applyAlignment="1">
      <alignment horizontal="left" vertical="center" wrapText="1"/>
    </xf>
    <xf numFmtId="0" fontId="0" fillId="2" borderId="0" xfId="0" applyFont="1" applyFill="1" applyAlignment="1">
      <alignment horizontal="left" vertical="center" wrapText="1"/>
    </xf>
    <xf numFmtId="0" fontId="0" fillId="2" borderId="14" xfId="0" applyFont="1" applyFill="1" applyBorder="1" applyAlignment="1">
      <alignment horizontal="left" vertical="center" wrapText="1"/>
    </xf>
    <xf numFmtId="0" fontId="0" fillId="2" borderId="15" xfId="0" applyFont="1" applyFill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center" vertical="center"/>
    </xf>
    <xf numFmtId="178" fontId="0" fillId="0" borderId="20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78" fontId="0" fillId="0" borderId="21" xfId="0" applyNumberFormat="1" applyBorder="1" applyAlignment="1">
      <alignment horizontal="center" vertical="center"/>
    </xf>
    <xf numFmtId="178" fontId="0" fillId="0" borderId="22" xfId="0" applyNumberFormat="1" applyBorder="1" applyAlignment="1">
      <alignment horizontal="center" vertical="center"/>
    </xf>
    <xf numFmtId="178" fontId="0" fillId="0" borderId="23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0" fillId="2" borderId="16" xfId="0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17" xfId="0" applyFont="1" applyFill="1" applyBorder="1" applyAlignment="1">
      <alignment horizontal="left" vertical="center" wrapText="1"/>
    </xf>
    <xf numFmtId="0" fontId="0" fillId="2" borderId="18" xfId="0" applyFont="1" applyFill="1" applyBorder="1" applyAlignment="1">
      <alignment horizontal="left" vertical="center" wrapText="1"/>
    </xf>
    <xf numFmtId="0" fontId="1" fillId="3" borderId="15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 vertical="center" wrapText="1"/>
    </xf>
    <xf numFmtId="178" fontId="0" fillId="0" borderId="15" xfId="0" applyNumberFormat="1" applyFont="1" applyBorder="1" applyAlignment="1">
      <alignment horizontal="center" vertical="center" wrapText="1"/>
    </xf>
    <xf numFmtId="178" fontId="0" fillId="0" borderId="15" xfId="0" applyNumberFormat="1" applyBorder="1" applyAlignment="1">
      <alignment horizontal="center" vertical="center" wrapText="1"/>
    </xf>
    <xf numFmtId="180" fontId="2" fillId="5" borderId="0" xfId="0" applyNumberFormat="1" applyFont="1" applyFill="1" applyAlignment="1">
      <alignment horizontal="center" vertical="center" wrapText="1"/>
    </xf>
    <xf numFmtId="178" fontId="1" fillId="0" borderId="1" xfId="0" applyNumberFormat="1" applyFont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center" vertical="center" wrapText="1"/>
    </xf>
    <xf numFmtId="178" fontId="0" fillId="4" borderId="1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178" fontId="0" fillId="0" borderId="1" xfId="0" applyNumberFormat="1" applyFill="1" applyBorder="1" applyAlignment="1">
      <alignment horizontal="center" vertical="center" wrapText="1"/>
    </xf>
    <xf numFmtId="177" fontId="0" fillId="0" borderId="0" xfId="0" applyNumberFormat="1" applyAlignment="1">
      <alignment horizontal="center" vertical="center" wrapText="1"/>
    </xf>
    <xf numFmtId="179" fontId="0" fillId="0" borderId="0" xfId="0" applyNumberFormat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178" fontId="0" fillId="0" borderId="26" xfId="0" applyNumberFormat="1" applyBorder="1" applyAlignment="1">
      <alignment horizontal="center" vertical="center"/>
    </xf>
    <xf numFmtId="178" fontId="0" fillId="0" borderId="27" xfId="0" applyNumberFormat="1" applyBorder="1" applyAlignment="1">
      <alignment horizontal="center" vertical="center" wrapText="1"/>
    </xf>
    <xf numFmtId="178" fontId="0" fillId="0" borderId="28" xfId="0" applyNumberFormat="1" applyBorder="1" applyAlignment="1">
      <alignment horizontal="center" vertical="center" wrapText="1"/>
    </xf>
    <xf numFmtId="178" fontId="1" fillId="0" borderId="9" xfId="0" applyNumberFormat="1" applyFont="1" applyBorder="1" applyAlignment="1">
      <alignment horizontal="center" vertical="center"/>
    </xf>
    <xf numFmtId="178" fontId="0" fillId="0" borderId="0" xfId="0" applyNumberForma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29" xfId="0" applyBorder="1" applyAlignment="1">
      <alignment horizontal="center" vertical="center" wrapText="1"/>
    </xf>
    <xf numFmtId="0" fontId="0" fillId="0" borderId="11" xfId="0" applyFont="1" applyBorder="1" applyAlignment="1">
      <alignment horizontal="left" vertical="center" wrapText="1"/>
    </xf>
    <xf numFmtId="0" fontId="0" fillId="0" borderId="16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7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8" xfId="0" applyFont="1" applyBorder="1" applyAlignment="1">
      <alignment horizontal="left" vertical="center" wrapText="1"/>
    </xf>
    <xf numFmtId="178" fontId="0" fillId="0" borderId="30" xfId="0" applyNumberFormat="1" applyBorder="1" applyAlignment="1">
      <alignment horizontal="center" vertical="center" wrapText="1"/>
    </xf>
    <xf numFmtId="178" fontId="0" fillId="0" borderId="31" xfId="0" applyNumberFormat="1" applyBorder="1" applyAlignment="1">
      <alignment horizontal="center" vertical="center" wrapText="1"/>
    </xf>
    <xf numFmtId="178" fontId="0" fillId="0" borderId="32" xfId="0" applyNumberFormat="1" applyBorder="1" applyAlignment="1">
      <alignment horizontal="center" vertical="center" wrapText="1"/>
    </xf>
    <xf numFmtId="178" fontId="0" fillId="0" borderId="33" xfId="0" applyNumberFormat="1" applyBorder="1" applyAlignment="1">
      <alignment horizontal="center" vertical="center" wrapText="1"/>
    </xf>
    <xf numFmtId="178" fontId="0" fillId="0" borderId="0" xfId="0" applyNumberFormat="1" applyFill="1" applyAlignment="1">
      <alignment horizontal="center" vertical="center" wrapText="1"/>
    </xf>
    <xf numFmtId="178" fontId="0" fillId="0" borderId="34" xfId="0" applyNumberFormat="1" applyBorder="1" applyAlignment="1">
      <alignment horizontal="center" vertical="center" wrapText="1"/>
    </xf>
    <xf numFmtId="178" fontId="0" fillId="0" borderId="35" xfId="0" applyNumberForma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Q68"/>
  <sheetViews>
    <sheetView tabSelected="1" workbookViewId="0">
      <pane ySplit="3" topLeftCell="A37" activePane="bottomLeft" state="frozen"/>
      <selection/>
      <selection pane="bottomLeft" activeCell="G41" sqref="G41"/>
    </sheetView>
  </sheetViews>
  <sheetFormatPr defaultColWidth="9" defaultRowHeight="14.4"/>
  <cols>
    <col min="1" max="1" width="10.1296296296296" style="66"/>
    <col min="2" max="2" width="11.5" style="8"/>
    <col min="3" max="3" width="14" style="57" customWidth="1"/>
    <col min="4" max="4" width="12.6296296296296" style="8"/>
    <col min="5" max="5" width="13.5" style="57" customWidth="1"/>
    <col min="6" max="6" width="12.6296296296296" style="8"/>
    <col min="7" max="7" width="13.5" style="57" customWidth="1"/>
    <col min="8" max="8" width="11.3796296296296" style="8" customWidth="1"/>
    <col min="9" max="9" width="14" style="57" customWidth="1"/>
    <col min="10" max="10" width="10.5" style="8" customWidth="1"/>
    <col min="11" max="11" width="13.6296296296296" style="57" customWidth="1"/>
    <col min="12" max="12" width="15" style="8" customWidth="1"/>
    <col min="13" max="13" width="4.37962962962963" style="8" customWidth="1"/>
    <col min="14" max="14" width="37.75" style="57" customWidth="1"/>
    <col min="15" max="15" width="31.1296296296296" style="57" customWidth="1"/>
    <col min="16" max="16384" width="9" style="57"/>
  </cols>
  <sheetData>
    <row r="1" spans="2:13">
      <c r="B1" s="67" t="s">
        <v>0</v>
      </c>
      <c r="C1" s="68"/>
      <c r="D1" s="68"/>
      <c r="E1" s="68"/>
      <c r="F1" s="68"/>
      <c r="H1" s="67" t="s">
        <v>1</v>
      </c>
      <c r="I1" s="68"/>
      <c r="J1" s="68"/>
      <c r="K1" s="68"/>
      <c r="L1" s="68"/>
      <c r="M1" s="85"/>
    </row>
    <row r="2" ht="72" spans="1:13">
      <c r="A2" s="69" t="s">
        <v>2</v>
      </c>
      <c r="B2" s="70" t="s">
        <v>3</v>
      </c>
      <c r="C2" s="28" t="s">
        <v>4</v>
      </c>
      <c r="D2" s="70" t="s">
        <v>5</v>
      </c>
      <c r="E2" s="28" t="s">
        <v>6</v>
      </c>
      <c r="F2" s="71" t="s">
        <v>7</v>
      </c>
      <c r="H2" s="70" t="s">
        <v>3</v>
      </c>
      <c r="I2" s="28" t="s">
        <v>8</v>
      </c>
      <c r="J2" s="70" t="s">
        <v>9</v>
      </c>
      <c r="K2" s="28" t="s">
        <v>6</v>
      </c>
      <c r="L2" s="71" t="s">
        <v>7</v>
      </c>
      <c r="M2" s="57"/>
    </row>
    <row r="3" ht="28.8" spans="2:17">
      <c r="B3" s="70" t="s">
        <v>10</v>
      </c>
      <c r="C3" s="28" t="s">
        <v>11</v>
      </c>
      <c r="D3" s="70" t="s">
        <v>12</v>
      </c>
      <c r="E3" s="28" t="s">
        <v>13</v>
      </c>
      <c r="F3" s="70" t="s">
        <v>14</v>
      </c>
      <c r="H3" s="70" t="s">
        <v>10</v>
      </c>
      <c r="I3" s="28" t="s">
        <v>11</v>
      </c>
      <c r="J3" s="70" t="s">
        <v>12</v>
      </c>
      <c r="K3" s="28" t="s">
        <v>13</v>
      </c>
      <c r="L3" s="70" t="s">
        <v>14</v>
      </c>
      <c r="M3" s="57"/>
      <c r="N3" s="28" t="s">
        <v>15</v>
      </c>
      <c r="O3" s="28" t="s">
        <v>16</v>
      </c>
      <c r="P3" s="86"/>
      <c r="Q3" s="86"/>
    </row>
    <row r="4" ht="28.8" spans="2:15">
      <c r="B4" s="72">
        <v>180000</v>
      </c>
      <c r="C4" s="1">
        <v>1</v>
      </c>
      <c r="D4" s="31">
        <f>B4*24%/12</f>
        <v>3600</v>
      </c>
      <c r="E4" s="73">
        <v>8233.72</v>
      </c>
      <c r="F4" s="31">
        <f>E4-D4</f>
        <v>4633.72</v>
      </c>
      <c r="G4" s="8">
        <v>8.25</v>
      </c>
      <c r="H4" s="72">
        <f>B12</f>
        <v>140228.924653109</v>
      </c>
      <c r="I4" s="1">
        <v>9</v>
      </c>
      <c r="J4" s="31">
        <f t="shared" ref="J4:J13" si="0">H4*17%/12</f>
        <v>1986.57643258571</v>
      </c>
      <c r="K4" s="73">
        <f>E4</f>
        <v>8233.72</v>
      </c>
      <c r="L4" s="31">
        <f t="shared" ref="L4:L13" si="1">K4-J4</f>
        <v>6247.14356741429</v>
      </c>
      <c r="M4" s="57"/>
      <c r="N4" s="1" t="s">
        <v>17</v>
      </c>
      <c r="O4" s="1"/>
    </row>
    <row r="5" spans="2:15">
      <c r="B5" s="31">
        <f>B4-F4</f>
        <v>175366.28</v>
      </c>
      <c r="C5" s="1">
        <v>2</v>
      </c>
      <c r="D5" s="31">
        <f t="shared" ref="D5:D39" si="2">B5*24%/12</f>
        <v>3507.3256</v>
      </c>
      <c r="E5" s="74">
        <f>$E$4</f>
        <v>8233.72</v>
      </c>
      <c r="F5" s="31">
        <f t="shared" ref="F5:F23" si="3">E5-D5</f>
        <v>4726.3944</v>
      </c>
      <c r="G5" s="8">
        <v>9.25</v>
      </c>
      <c r="H5" s="31">
        <f t="shared" ref="H5:H13" si="4">H4-L4</f>
        <v>133981.781085695</v>
      </c>
      <c r="I5" s="1">
        <v>10</v>
      </c>
      <c r="J5" s="31">
        <f t="shared" si="0"/>
        <v>1898.07523204734</v>
      </c>
      <c r="K5" s="74">
        <f>$E$4</f>
        <v>8233.72</v>
      </c>
      <c r="L5" s="31">
        <f t="shared" si="1"/>
        <v>6335.64476795266</v>
      </c>
      <c r="M5" s="57"/>
      <c r="N5" s="78" t="s">
        <v>18</v>
      </c>
      <c r="O5" s="78" t="s">
        <v>19</v>
      </c>
    </row>
    <row r="6" spans="2:15">
      <c r="B6" s="31">
        <f t="shared" ref="B6:B14" si="5">B5-F5</f>
        <v>170639.8856</v>
      </c>
      <c r="C6" s="1">
        <v>3</v>
      </c>
      <c r="D6" s="31">
        <f t="shared" si="2"/>
        <v>3412.797712</v>
      </c>
      <c r="E6" s="74">
        <f t="shared" ref="E6:E15" si="6">$E$4</f>
        <v>8233.72</v>
      </c>
      <c r="F6" s="31">
        <f t="shared" si="3"/>
        <v>4820.922288</v>
      </c>
      <c r="G6" s="8">
        <v>10.25</v>
      </c>
      <c r="H6" s="31">
        <f t="shared" si="4"/>
        <v>127646.136317742</v>
      </c>
      <c r="I6" s="1">
        <v>11</v>
      </c>
      <c r="J6" s="31">
        <f t="shared" si="0"/>
        <v>1808.32026450135</v>
      </c>
      <c r="K6" s="74">
        <f>$E$4</f>
        <v>8233.72</v>
      </c>
      <c r="L6" s="31">
        <f t="shared" si="1"/>
        <v>6425.39973549865</v>
      </c>
      <c r="M6" s="57"/>
      <c r="N6" s="1" t="s">
        <v>20</v>
      </c>
      <c r="O6" s="1"/>
    </row>
    <row r="7" spans="2:15">
      <c r="B7" s="31">
        <f t="shared" si="5"/>
        <v>165818.963312</v>
      </c>
      <c r="C7" s="1">
        <v>4</v>
      </c>
      <c r="D7" s="31">
        <f t="shared" si="2"/>
        <v>3316.37926624</v>
      </c>
      <c r="E7" s="74">
        <f t="shared" si="6"/>
        <v>8233.72</v>
      </c>
      <c r="F7" s="31">
        <f t="shared" si="3"/>
        <v>4917.34073376</v>
      </c>
      <c r="G7" s="8">
        <v>11.25</v>
      </c>
      <c r="H7" s="31">
        <f t="shared" si="4"/>
        <v>121220.736582244</v>
      </c>
      <c r="I7" s="1">
        <v>12</v>
      </c>
      <c r="J7" s="31">
        <f t="shared" si="0"/>
        <v>1717.29376824845</v>
      </c>
      <c r="K7" s="74">
        <f>$E$4</f>
        <v>8233.72</v>
      </c>
      <c r="L7" s="31">
        <f t="shared" si="1"/>
        <v>6516.42623175155</v>
      </c>
      <c r="M7" s="57"/>
      <c r="N7" s="1" t="s">
        <v>21</v>
      </c>
      <c r="O7" s="1"/>
    </row>
    <row r="8" ht="13.5" customHeight="1" spans="2:15">
      <c r="B8" s="31">
        <f t="shared" si="5"/>
        <v>160901.62257824</v>
      </c>
      <c r="C8" s="1">
        <v>5</v>
      </c>
      <c r="D8" s="31">
        <f t="shared" si="2"/>
        <v>3218.0324515648</v>
      </c>
      <c r="E8" s="74">
        <f t="shared" si="6"/>
        <v>8233.72</v>
      </c>
      <c r="F8" s="31">
        <f t="shared" si="3"/>
        <v>5015.6875484352</v>
      </c>
      <c r="G8" s="8">
        <v>12.25</v>
      </c>
      <c r="H8" s="31">
        <f t="shared" si="4"/>
        <v>114704.310350492</v>
      </c>
      <c r="I8" s="1">
        <v>13</v>
      </c>
      <c r="J8" s="31">
        <f t="shared" si="0"/>
        <v>1624.9777299653</v>
      </c>
      <c r="K8" s="74">
        <f>$E$4</f>
        <v>8233.72</v>
      </c>
      <c r="L8" s="31">
        <f t="shared" si="1"/>
        <v>6608.7422700347</v>
      </c>
      <c r="M8" s="57"/>
      <c r="N8" s="1" t="s">
        <v>22</v>
      </c>
      <c r="O8" s="87"/>
    </row>
    <row r="9" spans="2:15">
      <c r="B9" s="31">
        <f t="shared" si="5"/>
        <v>155885.935029805</v>
      </c>
      <c r="C9" s="1">
        <v>6</v>
      </c>
      <c r="D9" s="31">
        <f t="shared" si="2"/>
        <v>3117.7187005961</v>
      </c>
      <c r="E9" s="74">
        <f t="shared" si="6"/>
        <v>8233.72</v>
      </c>
      <c r="F9" s="31">
        <f t="shared" si="3"/>
        <v>5116.0012994039</v>
      </c>
      <c r="G9" s="8">
        <v>1.25</v>
      </c>
      <c r="H9" s="75">
        <f t="shared" si="4"/>
        <v>108095.568080457</v>
      </c>
      <c r="I9" s="1">
        <v>14</v>
      </c>
      <c r="J9" s="31">
        <f t="shared" si="0"/>
        <v>1531.35388113981</v>
      </c>
      <c r="K9" s="74">
        <f>$E$4</f>
        <v>8233.72</v>
      </c>
      <c r="L9" s="31">
        <f t="shared" si="1"/>
        <v>6702.36611886019</v>
      </c>
      <c r="M9" s="57"/>
      <c r="N9" s="78" t="s">
        <v>23</v>
      </c>
      <c r="O9" s="87" t="s">
        <v>24</v>
      </c>
    </row>
    <row r="10" spans="1:15">
      <c r="A10" s="76"/>
      <c r="B10" s="75">
        <f t="shared" si="5"/>
        <v>150769.933730401</v>
      </c>
      <c r="C10" s="74">
        <v>7</v>
      </c>
      <c r="D10" s="75">
        <f t="shared" si="2"/>
        <v>3015.39867460802</v>
      </c>
      <c r="E10" s="74">
        <f t="shared" si="6"/>
        <v>8233.72</v>
      </c>
      <c r="F10" s="75">
        <f t="shared" si="3"/>
        <v>5218.32132539198</v>
      </c>
      <c r="G10" s="8">
        <v>2.25</v>
      </c>
      <c r="H10" s="31">
        <f t="shared" si="4"/>
        <v>101393.201961597</v>
      </c>
      <c r="I10" s="1">
        <v>15</v>
      </c>
      <c r="J10" s="31">
        <f t="shared" si="0"/>
        <v>1436.40369445596</v>
      </c>
      <c r="K10" s="74">
        <f>$E$4</f>
        <v>8233.72</v>
      </c>
      <c r="L10" s="31">
        <f t="shared" si="1"/>
        <v>6797.31630554404</v>
      </c>
      <c r="M10" s="57"/>
      <c r="N10" s="78" t="s">
        <v>25</v>
      </c>
      <c r="O10" s="1"/>
    </row>
    <row r="11" spans="1:15">
      <c r="A11" s="66">
        <v>7.25</v>
      </c>
      <c r="B11" s="31">
        <f t="shared" si="5"/>
        <v>145551.612405009</v>
      </c>
      <c r="C11" s="1">
        <v>8</v>
      </c>
      <c r="D11" s="31">
        <f t="shared" si="2"/>
        <v>2911.03224810018</v>
      </c>
      <c r="E11" s="74">
        <f t="shared" si="6"/>
        <v>8233.72</v>
      </c>
      <c r="F11" s="31">
        <f t="shared" si="3"/>
        <v>5322.68775189982</v>
      </c>
      <c r="G11" s="77"/>
      <c r="H11" s="31">
        <f t="shared" si="4"/>
        <v>94595.885656053</v>
      </c>
      <c r="I11" s="1">
        <v>16</v>
      </c>
      <c r="J11" s="31">
        <f t="shared" si="0"/>
        <v>1340.10838012742</v>
      </c>
      <c r="K11" s="74">
        <f>$E$4</f>
        <v>8233.72</v>
      </c>
      <c r="L11" s="31">
        <f t="shared" si="1"/>
        <v>6893.61161987258</v>
      </c>
      <c r="M11" s="57"/>
      <c r="N11" s="1" t="s">
        <v>26</v>
      </c>
      <c r="O11" s="1" t="s">
        <v>27</v>
      </c>
    </row>
    <row r="12" spans="1:13">
      <c r="A12" s="66">
        <v>8.25</v>
      </c>
      <c r="B12" s="31">
        <f t="shared" si="5"/>
        <v>140228.924653109</v>
      </c>
      <c r="C12" s="1">
        <v>9</v>
      </c>
      <c r="D12" s="31">
        <f t="shared" si="2"/>
        <v>2804.57849306218</v>
      </c>
      <c r="E12" s="74">
        <f t="shared" si="6"/>
        <v>8233.72</v>
      </c>
      <c r="F12" s="31">
        <f t="shared" si="3"/>
        <v>5429.14150693782</v>
      </c>
      <c r="G12" s="77"/>
      <c r="H12" s="31">
        <f t="shared" si="4"/>
        <v>87702.2740361805</v>
      </c>
      <c r="I12" s="1">
        <v>17</v>
      </c>
      <c r="J12" s="31">
        <f t="shared" si="0"/>
        <v>1242.44888217922</v>
      </c>
      <c r="K12" s="74">
        <f>$E$4</f>
        <v>8233.72</v>
      </c>
      <c r="L12" s="31">
        <f t="shared" si="1"/>
        <v>6991.27111782078</v>
      </c>
      <c r="M12" s="57"/>
    </row>
    <row r="13" ht="13.5" customHeight="1" spans="1:15">
      <c r="A13" s="66">
        <v>9.25</v>
      </c>
      <c r="B13" s="31">
        <f t="shared" si="5"/>
        <v>134799.783146171</v>
      </c>
      <c r="C13" s="78">
        <v>10</v>
      </c>
      <c r="D13" s="31">
        <f t="shared" si="2"/>
        <v>2695.99566292343</v>
      </c>
      <c r="E13" s="74">
        <f t="shared" si="6"/>
        <v>8233.72</v>
      </c>
      <c r="F13" s="31">
        <f t="shared" si="3"/>
        <v>5537.72433707657</v>
      </c>
      <c r="G13" s="77"/>
      <c r="H13" s="31">
        <f t="shared" si="4"/>
        <v>80711.0029183597</v>
      </c>
      <c r="I13" s="1">
        <v>18</v>
      </c>
      <c r="J13" s="31">
        <f t="shared" si="0"/>
        <v>1143.40587467676</v>
      </c>
      <c r="K13" s="74">
        <f>$E$4</f>
        <v>8233.72</v>
      </c>
      <c r="L13" s="31">
        <f t="shared" si="1"/>
        <v>7090.31412532324</v>
      </c>
      <c r="M13" s="57"/>
      <c r="N13" s="88" t="s">
        <v>28</v>
      </c>
      <c r="O13" s="89"/>
    </row>
    <row r="14" spans="1:15">
      <c r="A14" s="66">
        <v>10.25</v>
      </c>
      <c r="B14" s="75">
        <f t="shared" si="5"/>
        <v>129262.058809095</v>
      </c>
      <c r="C14" s="74">
        <v>11</v>
      </c>
      <c r="D14" s="75">
        <f t="shared" si="2"/>
        <v>2585.24117618189</v>
      </c>
      <c r="E14" s="74">
        <f t="shared" si="6"/>
        <v>8233.72</v>
      </c>
      <c r="F14" s="75">
        <f t="shared" si="3"/>
        <v>5648.47882381811</v>
      </c>
      <c r="G14" s="77"/>
      <c r="H14" s="31">
        <f t="shared" ref="H14:H32" si="7">H13-L13</f>
        <v>73620.6887930364</v>
      </c>
      <c r="I14" s="1">
        <v>19</v>
      </c>
      <c r="J14" s="31">
        <f t="shared" ref="J14:J39" si="8">H14*17%/12</f>
        <v>1042.95975790135</v>
      </c>
      <c r="K14" s="74">
        <f t="shared" ref="K14:K23" si="9">$E$4</f>
        <v>8233.72</v>
      </c>
      <c r="L14" s="31">
        <f t="shared" ref="L14:L32" si="10">K14-J14</f>
        <v>7190.76024209865</v>
      </c>
      <c r="M14" s="57"/>
      <c r="N14" s="90"/>
      <c r="O14" s="91"/>
    </row>
    <row r="15" spans="1:15">
      <c r="A15" s="66">
        <v>11.25</v>
      </c>
      <c r="B15" s="75">
        <f t="shared" ref="B15:B26" si="11">B14-F14</f>
        <v>123613.579985277</v>
      </c>
      <c r="C15" s="1">
        <v>12</v>
      </c>
      <c r="D15" s="31">
        <f t="shared" si="2"/>
        <v>2472.27159970553</v>
      </c>
      <c r="E15" s="74">
        <f t="shared" si="6"/>
        <v>8233.72</v>
      </c>
      <c r="F15" s="31">
        <f t="shared" si="3"/>
        <v>5761.44840029447</v>
      </c>
      <c r="G15" s="77"/>
      <c r="H15" s="31">
        <f t="shared" si="7"/>
        <v>66429.9285509378</v>
      </c>
      <c r="I15" s="1">
        <v>20</v>
      </c>
      <c r="J15" s="31">
        <f t="shared" si="8"/>
        <v>941.090654471619</v>
      </c>
      <c r="K15" s="74">
        <f t="shared" si="9"/>
        <v>8233.72</v>
      </c>
      <c r="L15" s="31">
        <f t="shared" si="10"/>
        <v>7292.62934552838</v>
      </c>
      <c r="M15" s="57"/>
      <c r="N15" s="90"/>
      <c r="O15" s="91"/>
    </row>
    <row r="16" spans="1:15">
      <c r="A16" s="66">
        <v>12.25</v>
      </c>
      <c r="B16" s="75">
        <f t="shared" si="11"/>
        <v>117852.131584982</v>
      </c>
      <c r="C16" s="1">
        <v>13</v>
      </c>
      <c r="D16" s="31">
        <f t="shared" si="2"/>
        <v>2357.04263169964</v>
      </c>
      <c r="E16" s="74">
        <f t="shared" ref="E16:E25" si="12">$E$4</f>
        <v>8233.72</v>
      </c>
      <c r="F16" s="31">
        <f t="shared" si="3"/>
        <v>5876.67736830036</v>
      </c>
      <c r="G16" s="77"/>
      <c r="H16" s="31">
        <f t="shared" si="7"/>
        <v>59137.2992054094</v>
      </c>
      <c r="I16" s="1">
        <v>21</v>
      </c>
      <c r="J16" s="31">
        <f t="shared" si="8"/>
        <v>837.778405409967</v>
      </c>
      <c r="K16" s="74">
        <f t="shared" si="9"/>
        <v>8233.72</v>
      </c>
      <c r="L16" s="31">
        <f t="shared" si="10"/>
        <v>7395.94159459003</v>
      </c>
      <c r="M16" s="57"/>
      <c r="N16" s="90"/>
      <c r="O16" s="91"/>
    </row>
    <row r="17" spans="2:15">
      <c r="B17" s="75">
        <f t="shared" si="11"/>
        <v>111975.454216682</v>
      </c>
      <c r="C17" s="1">
        <v>14</v>
      </c>
      <c r="D17" s="31">
        <f t="shared" si="2"/>
        <v>2239.50908433364</v>
      </c>
      <c r="E17" s="74">
        <f t="shared" si="12"/>
        <v>8233.72</v>
      </c>
      <c r="F17" s="31">
        <f t="shared" si="3"/>
        <v>5994.21091566636</v>
      </c>
      <c r="G17" s="77"/>
      <c r="H17" s="31">
        <f t="shared" si="7"/>
        <v>51741.3576108194</v>
      </c>
      <c r="I17" s="1">
        <v>22</v>
      </c>
      <c r="J17" s="31">
        <f t="shared" si="8"/>
        <v>733.002566153275</v>
      </c>
      <c r="K17" s="74">
        <f t="shared" si="9"/>
        <v>8233.72</v>
      </c>
      <c r="L17" s="31">
        <f t="shared" si="10"/>
        <v>7500.71743384672</v>
      </c>
      <c r="M17" s="57"/>
      <c r="N17" s="90"/>
      <c r="O17" s="91"/>
    </row>
    <row r="18" spans="2:15">
      <c r="B18" s="75">
        <f t="shared" si="11"/>
        <v>105981.243301015</v>
      </c>
      <c r="C18" s="1">
        <v>15</v>
      </c>
      <c r="D18" s="31">
        <f t="shared" si="2"/>
        <v>2119.62486602031</v>
      </c>
      <c r="E18" s="74">
        <f t="shared" si="12"/>
        <v>8233.72</v>
      </c>
      <c r="F18" s="31">
        <f t="shared" si="3"/>
        <v>6114.09513397969</v>
      </c>
      <c r="G18" s="77"/>
      <c r="H18" s="31">
        <f t="shared" si="7"/>
        <v>44240.6401769727</v>
      </c>
      <c r="I18" s="1">
        <v>23</v>
      </c>
      <c r="J18" s="31">
        <f t="shared" si="8"/>
        <v>626.742402507113</v>
      </c>
      <c r="K18" s="74">
        <f t="shared" si="9"/>
        <v>8233.72</v>
      </c>
      <c r="L18" s="31">
        <f t="shared" si="10"/>
        <v>7606.97759749289</v>
      </c>
      <c r="M18" s="57"/>
      <c r="N18" s="90"/>
      <c r="O18" s="91"/>
    </row>
    <row r="19" spans="2:15">
      <c r="B19" s="75">
        <f t="shared" si="11"/>
        <v>99867.1481670357</v>
      </c>
      <c r="C19" s="1">
        <v>16</v>
      </c>
      <c r="D19" s="31">
        <f t="shared" si="2"/>
        <v>1997.34296334071</v>
      </c>
      <c r="E19" s="74">
        <f t="shared" si="12"/>
        <v>8233.72</v>
      </c>
      <c r="F19" s="31">
        <f t="shared" si="3"/>
        <v>6236.37703665929</v>
      </c>
      <c r="G19" s="77"/>
      <c r="H19" s="31">
        <f t="shared" si="7"/>
        <v>36633.6625794798</v>
      </c>
      <c r="I19" s="1">
        <v>24</v>
      </c>
      <c r="J19" s="31">
        <f t="shared" si="8"/>
        <v>518.97688654263</v>
      </c>
      <c r="K19" s="74">
        <f t="shared" si="9"/>
        <v>8233.72</v>
      </c>
      <c r="L19" s="31">
        <f t="shared" si="10"/>
        <v>7714.74311345737</v>
      </c>
      <c r="M19" s="57"/>
      <c r="N19" s="90"/>
      <c r="O19" s="91"/>
    </row>
    <row r="20" spans="2:15">
      <c r="B20" s="75">
        <f t="shared" si="11"/>
        <v>93630.7711303764</v>
      </c>
      <c r="C20" s="74">
        <v>17</v>
      </c>
      <c r="D20" s="75">
        <f t="shared" si="2"/>
        <v>1872.61542260753</v>
      </c>
      <c r="E20" s="74">
        <f t="shared" si="12"/>
        <v>8233.72</v>
      </c>
      <c r="F20" s="75">
        <f t="shared" si="3"/>
        <v>6361.10457739247</v>
      </c>
      <c r="G20" s="77"/>
      <c r="H20" s="31">
        <f t="shared" si="7"/>
        <v>28918.9194660224</v>
      </c>
      <c r="I20" s="1">
        <v>25</v>
      </c>
      <c r="J20" s="31">
        <f t="shared" si="8"/>
        <v>409.684692435317</v>
      </c>
      <c r="K20" s="74">
        <f t="shared" si="9"/>
        <v>8233.72</v>
      </c>
      <c r="L20" s="31">
        <f t="shared" si="10"/>
        <v>7824.03530756468</v>
      </c>
      <c r="M20" s="57"/>
      <c r="N20" s="92"/>
      <c r="O20" s="93"/>
    </row>
    <row r="21" spans="2:13">
      <c r="B21" s="75">
        <f t="shared" si="11"/>
        <v>87269.666552984</v>
      </c>
      <c r="C21" s="74">
        <v>18</v>
      </c>
      <c r="D21" s="75">
        <f t="shared" si="2"/>
        <v>1745.39333105968</v>
      </c>
      <c r="E21" s="74">
        <f t="shared" si="12"/>
        <v>8233.72</v>
      </c>
      <c r="F21" s="75">
        <f t="shared" si="3"/>
        <v>6488.32666894032</v>
      </c>
      <c r="G21" s="77"/>
      <c r="H21" s="31">
        <f t="shared" si="7"/>
        <v>21094.8841584577</v>
      </c>
      <c r="I21" s="1">
        <v>26</v>
      </c>
      <c r="J21" s="31">
        <f t="shared" si="8"/>
        <v>298.844192244818</v>
      </c>
      <c r="K21" s="74">
        <f t="shared" si="9"/>
        <v>8233.72</v>
      </c>
      <c r="L21" s="31">
        <f t="shared" si="10"/>
        <v>7934.87580775518</v>
      </c>
      <c r="M21" s="85"/>
    </row>
    <row r="22" spans="2:13">
      <c r="B22" s="75">
        <f t="shared" si="11"/>
        <v>80781.3398840436</v>
      </c>
      <c r="C22" s="74">
        <v>19</v>
      </c>
      <c r="D22" s="31">
        <f t="shared" si="2"/>
        <v>1615.62679768087</v>
      </c>
      <c r="E22" s="74">
        <f t="shared" si="12"/>
        <v>8233.72</v>
      </c>
      <c r="F22" s="31">
        <f t="shared" si="3"/>
        <v>6618.09320231913</v>
      </c>
      <c r="G22" s="77"/>
      <c r="H22" s="31">
        <f t="shared" si="7"/>
        <v>13160.0083507025</v>
      </c>
      <c r="I22" s="1">
        <v>27</v>
      </c>
      <c r="J22" s="31">
        <f t="shared" si="8"/>
        <v>186.433451634953</v>
      </c>
      <c r="K22" s="74">
        <f t="shared" si="9"/>
        <v>8233.72</v>
      </c>
      <c r="L22" s="31">
        <f t="shared" si="10"/>
        <v>8047.28654836505</v>
      </c>
      <c r="M22" s="85"/>
    </row>
    <row r="23" spans="2:13">
      <c r="B23" s="75">
        <f t="shared" si="11"/>
        <v>74163.2466817245</v>
      </c>
      <c r="C23" s="74">
        <v>20</v>
      </c>
      <c r="D23" s="31">
        <f t="shared" si="2"/>
        <v>1483.26493363449</v>
      </c>
      <c r="E23" s="74">
        <f t="shared" si="12"/>
        <v>8233.72</v>
      </c>
      <c r="F23" s="31">
        <f t="shared" si="3"/>
        <v>6750.45506636551</v>
      </c>
      <c r="G23" s="77"/>
      <c r="H23" s="31">
        <f t="shared" si="7"/>
        <v>5112.72180233749</v>
      </c>
      <c r="I23" s="1">
        <v>28</v>
      </c>
      <c r="J23" s="31">
        <f t="shared" si="8"/>
        <v>72.4302255331145</v>
      </c>
      <c r="K23" s="74">
        <f t="shared" si="9"/>
        <v>8233.72</v>
      </c>
      <c r="L23" s="31">
        <f t="shared" si="10"/>
        <v>8161.28977446689</v>
      </c>
      <c r="M23" s="85"/>
    </row>
    <row r="24" spans="2:13">
      <c r="B24" s="75">
        <f t="shared" si="11"/>
        <v>67412.791615359</v>
      </c>
      <c r="C24" s="74">
        <v>21</v>
      </c>
      <c r="D24" s="31">
        <f t="shared" si="2"/>
        <v>1348.25583230718</v>
      </c>
      <c r="E24" s="74">
        <f t="shared" si="12"/>
        <v>8233.72</v>
      </c>
      <c r="F24" s="31">
        <f t="shared" ref="F24:F39" si="13">E24-D24</f>
        <v>6885.46416769282</v>
      </c>
      <c r="G24" s="77"/>
      <c r="H24" s="31">
        <f t="shared" si="7"/>
        <v>-3048.56797212939</v>
      </c>
      <c r="I24" s="1">
        <v>29</v>
      </c>
      <c r="J24" s="31">
        <f t="shared" si="8"/>
        <v>-43.1880462718331</v>
      </c>
      <c r="K24" s="74">
        <f t="shared" ref="K24:K32" si="14">$E$4</f>
        <v>8233.72</v>
      </c>
      <c r="L24" s="31">
        <f t="shared" si="10"/>
        <v>8276.90804627183</v>
      </c>
      <c r="M24" s="85"/>
    </row>
    <row r="25" spans="2:13">
      <c r="B25" s="75">
        <f t="shared" si="11"/>
        <v>60527.3274476662</v>
      </c>
      <c r="C25" s="74">
        <v>22</v>
      </c>
      <c r="D25" s="31">
        <f t="shared" si="2"/>
        <v>1210.54654895332</v>
      </c>
      <c r="E25" s="74">
        <f t="shared" si="12"/>
        <v>8233.72</v>
      </c>
      <c r="F25" s="31">
        <f t="shared" si="13"/>
        <v>7023.17345104668</v>
      </c>
      <c r="G25" s="77"/>
      <c r="H25" s="31">
        <f t="shared" si="7"/>
        <v>-11325.4760184012</v>
      </c>
      <c r="I25" s="1">
        <v>30</v>
      </c>
      <c r="J25" s="31">
        <f t="shared" si="8"/>
        <v>-160.444243594017</v>
      </c>
      <c r="K25" s="74">
        <f t="shared" si="14"/>
        <v>8233.72</v>
      </c>
      <c r="L25" s="31">
        <f t="shared" si="10"/>
        <v>8394.16424359402</v>
      </c>
      <c r="M25" s="85"/>
    </row>
    <row r="26" spans="2:13">
      <c r="B26" s="75">
        <f t="shared" si="11"/>
        <v>53504.1539966195</v>
      </c>
      <c r="C26" s="74">
        <v>23</v>
      </c>
      <c r="D26" s="31">
        <f t="shared" si="2"/>
        <v>1070.08307993239</v>
      </c>
      <c r="E26" s="74">
        <f t="shared" ref="E26:E39" si="15">$E$4</f>
        <v>8233.72</v>
      </c>
      <c r="F26" s="31">
        <f t="shared" si="13"/>
        <v>7163.63692006761</v>
      </c>
      <c r="G26" s="77"/>
      <c r="H26" s="31">
        <f t="shared" si="7"/>
        <v>-19719.6402619952</v>
      </c>
      <c r="I26" s="1">
        <v>31</v>
      </c>
      <c r="J26" s="31">
        <f t="shared" si="8"/>
        <v>-279.361570378266</v>
      </c>
      <c r="K26" s="74">
        <f t="shared" si="14"/>
        <v>8233.72</v>
      </c>
      <c r="L26" s="31">
        <f t="shared" si="10"/>
        <v>8513.08157037826</v>
      </c>
      <c r="M26" s="85"/>
    </row>
    <row r="27" spans="2:13">
      <c r="B27" s="75">
        <f t="shared" ref="B27:B39" si="16">B26-F26</f>
        <v>46340.5170765519</v>
      </c>
      <c r="C27" s="74">
        <v>24</v>
      </c>
      <c r="D27" s="31">
        <f t="shared" si="2"/>
        <v>926.810341531038</v>
      </c>
      <c r="E27" s="74">
        <f t="shared" si="15"/>
        <v>8233.72</v>
      </c>
      <c r="F27" s="31">
        <f t="shared" si="13"/>
        <v>7306.90965846896</v>
      </c>
      <c r="G27" s="77"/>
      <c r="H27" s="31">
        <f t="shared" si="7"/>
        <v>-28232.7218323735</v>
      </c>
      <c r="I27" s="1">
        <v>32</v>
      </c>
      <c r="J27" s="31">
        <f t="shared" si="8"/>
        <v>-399.963559291958</v>
      </c>
      <c r="K27" s="74">
        <f t="shared" si="14"/>
        <v>8233.72</v>
      </c>
      <c r="L27" s="31">
        <f t="shared" si="10"/>
        <v>8633.68355929196</v>
      </c>
      <c r="M27" s="85"/>
    </row>
    <row r="28" spans="2:13">
      <c r="B28" s="75">
        <f t="shared" si="16"/>
        <v>39033.6074180829</v>
      </c>
      <c r="C28" s="74">
        <v>25</v>
      </c>
      <c r="D28" s="31">
        <f t="shared" si="2"/>
        <v>780.672148361659</v>
      </c>
      <c r="E28" s="74">
        <f t="shared" si="15"/>
        <v>8233.72</v>
      </c>
      <c r="F28" s="31">
        <f t="shared" si="13"/>
        <v>7453.04785163834</v>
      </c>
      <c r="G28" s="77"/>
      <c r="H28" s="31">
        <f t="shared" si="7"/>
        <v>-36866.4053916655</v>
      </c>
      <c r="I28" s="1">
        <v>33</v>
      </c>
      <c r="J28" s="31">
        <f t="shared" si="8"/>
        <v>-522.274076381927</v>
      </c>
      <c r="K28" s="74">
        <f t="shared" si="14"/>
        <v>8233.72</v>
      </c>
      <c r="L28" s="31">
        <f t="shared" si="10"/>
        <v>8755.99407638193</v>
      </c>
      <c r="M28" s="85"/>
    </row>
    <row r="29" spans="2:13">
      <c r="B29" s="75">
        <f t="shared" si="16"/>
        <v>31580.5595664446</v>
      </c>
      <c r="C29" s="74">
        <v>26</v>
      </c>
      <c r="D29" s="31">
        <f t="shared" si="2"/>
        <v>631.611191328892</v>
      </c>
      <c r="E29" s="74">
        <f t="shared" si="15"/>
        <v>8233.72</v>
      </c>
      <c r="F29" s="31">
        <f t="shared" si="13"/>
        <v>7602.10880867111</v>
      </c>
      <c r="G29" s="77"/>
      <c r="H29" s="31">
        <f t="shared" si="7"/>
        <v>-45622.3994680474</v>
      </c>
      <c r="I29" s="1">
        <v>34</v>
      </c>
      <c r="J29" s="31">
        <f t="shared" si="8"/>
        <v>-646.317325797338</v>
      </c>
      <c r="K29" s="74">
        <f t="shared" si="14"/>
        <v>8233.72</v>
      </c>
      <c r="L29" s="31">
        <f t="shared" si="10"/>
        <v>8880.03732579734</v>
      </c>
      <c r="M29" s="85"/>
    </row>
    <row r="30" spans="2:13">
      <c r="B30" s="75">
        <f t="shared" si="16"/>
        <v>23978.4507577735</v>
      </c>
      <c r="C30" s="74">
        <v>27</v>
      </c>
      <c r="D30" s="31">
        <f t="shared" si="2"/>
        <v>479.56901515547</v>
      </c>
      <c r="E30" s="74">
        <f t="shared" si="15"/>
        <v>8233.72</v>
      </c>
      <c r="F30" s="31">
        <f t="shared" si="13"/>
        <v>7754.15098484453</v>
      </c>
      <c r="G30" s="77"/>
      <c r="H30" s="31">
        <f t="shared" si="7"/>
        <v>-54502.4367938447</v>
      </c>
      <c r="I30" s="1">
        <v>35</v>
      </c>
      <c r="J30" s="31">
        <f t="shared" si="8"/>
        <v>-772.117854579467</v>
      </c>
      <c r="K30" s="74">
        <f t="shared" si="14"/>
        <v>8233.72</v>
      </c>
      <c r="L30" s="31">
        <f t="shared" si="10"/>
        <v>9005.83785457947</v>
      </c>
      <c r="M30" s="85"/>
    </row>
    <row r="31" spans="2:13">
      <c r="B31" s="75">
        <f t="shared" si="16"/>
        <v>16224.299772929</v>
      </c>
      <c r="C31" s="74">
        <v>28</v>
      </c>
      <c r="D31" s="31">
        <f t="shared" si="2"/>
        <v>324.485995458579</v>
      </c>
      <c r="E31" s="74">
        <f t="shared" si="15"/>
        <v>8233.72</v>
      </c>
      <c r="F31" s="31">
        <f t="shared" si="13"/>
        <v>7909.23400454142</v>
      </c>
      <c r="G31" s="77"/>
      <c r="H31" s="31">
        <f t="shared" si="7"/>
        <v>-63508.2746484242</v>
      </c>
      <c r="I31" s="1">
        <v>36</v>
      </c>
      <c r="J31" s="31">
        <f t="shared" si="8"/>
        <v>-899.700557519343</v>
      </c>
      <c r="K31" s="74">
        <f t="shared" si="14"/>
        <v>8233.72</v>
      </c>
      <c r="L31" s="31">
        <f t="shared" si="10"/>
        <v>9133.42055751934</v>
      </c>
      <c r="M31" s="85"/>
    </row>
    <row r="32" spans="2:13">
      <c r="B32" s="75">
        <f t="shared" si="16"/>
        <v>8315.06576838754</v>
      </c>
      <c r="C32" s="74">
        <v>29</v>
      </c>
      <c r="D32" s="31">
        <f t="shared" si="2"/>
        <v>166.301315367751</v>
      </c>
      <c r="E32" s="74">
        <f t="shared" si="15"/>
        <v>8233.72</v>
      </c>
      <c r="F32" s="31">
        <f t="shared" si="13"/>
        <v>8067.41868463225</v>
      </c>
      <c r="G32" s="77"/>
      <c r="H32" s="31">
        <f t="shared" si="7"/>
        <v>-72641.6952059435</v>
      </c>
      <c r="I32" s="1">
        <v>37</v>
      </c>
      <c r="J32" s="31">
        <f t="shared" si="8"/>
        <v>-1029.0906820842</v>
      </c>
      <c r="K32" s="74">
        <f t="shared" si="14"/>
        <v>8233.72</v>
      </c>
      <c r="L32" s="31">
        <f t="shared" si="10"/>
        <v>9262.8106820842</v>
      </c>
      <c r="M32" s="85"/>
    </row>
    <row r="33" spans="2:13">
      <c r="B33" s="75">
        <f t="shared" si="16"/>
        <v>247.647083755293</v>
      </c>
      <c r="C33" s="74">
        <v>30</v>
      </c>
      <c r="D33" s="75">
        <f t="shared" si="2"/>
        <v>4.95294167510587</v>
      </c>
      <c r="E33" s="74">
        <f t="shared" si="15"/>
        <v>8233.72</v>
      </c>
      <c r="F33" s="75">
        <f t="shared" si="13"/>
        <v>8228.76705832489</v>
      </c>
      <c r="H33" s="31"/>
      <c r="I33" s="1"/>
      <c r="J33" s="31">
        <f t="shared" si="8"/>
        <v>0</v>
      </c>
      <c r="K33" s="74"/>
      <c r="L33" s="31"/>
      <c r="M33" s="85"/>
    </row>
    <row r="34" spans="2:13">
      <c r="B34" s="75">
        <f t="shared" si="16"/>
        <v>-7981.1199745696</v>
      </c>
      <c r="C34" s="74">
        <v>31</v>
      </c>
      <c r="D34" s="75">
        <f t="shared" si="2"/>
        <v>-159.622399491392</v>
      </c>
      <c r="E34" s="74">
        <f t="shared" si="15"/>
        <v>8233.72</v>
      </c>
      <c r="F34" s="75">
        <f t="shared" si="13"/>
        <v>8393.34239949139</v>
      </c>
      <c r="H34" s="31"/>
      <c r="I34" s="1"/>
      <c r="J34" s="31">
        <f t="shared" si="8"/>
        <v>0</v>
      </c>
      <c r="K34" s="74"/>
      <c r="L34" s="31"/>
      <c r="M34" s="85"/>
    </row>
    <row r="35" spans="2:13">
      <c r="B35" s="75">
        <f t="shared" si="16"/>
        <v>-16374.462374061</v>
      </c>
      <c r="C35" s="74">
        <v>32</v>
      </c>
      <c r="D35" s="75">
        <f t="shared" si="2"/>
        <v>-327.48924748122</v>
      </c>
      <c r="E35" s="74">
        <f t="shared" si="15"/>
        <v>8233.72</v>
      </c>
      <c r="F35" s="75">
        <f t="shared" si="13"/>
        <v>8561.20924748122</v>
      </c>
      <c r="H35" s="31"/>
      <c r="I35" s="1"/>
      <c r="J35" s="31">
        <f t="shared" si="8"/>
        <v>0</v>
      </c>
      <c r="K35" s="74"/>
      <c r="L35" s="31"/>
      <c r="M35" s="85"/>
    </row>
    <row r="36" spans="2:13">
      <c r="B36" s="75">
        <f t="shared" si="16"/>
        <v>-24935.6716215422</v>
      </c>
      <c r="C36" s="74">
        <v>33</v>
      </c>
      <c r="D36" s="75">
        <f t="shared" si="2"/>
        <v>-498.713432430844</v>
      </c>
      <c r="E36" s="74">
        <f t="shared" si="15"/>
        <v>8233.72</v>
      </c>
      <c r="F36" s="75">
        <f t="shared" si="13"/>
        <v>8732.43343243084</v>
      </c>
      <c r="H36" s="31"/>
      <c r="I36" s="1"/>
      <c r="J36" s="31">
        <f t="shared" si="8"/>
        <v>0</v>
      </c>
      <c r="K36" s="74"/>
      <c r="L36" s="31"/>
      <c r="M36" s="85"/>
    </row>
    <row r="37" spans="2:13">
      <c r="B37" s="75">
        <f t="shared" si="16"/>
        <v>-33668.1050539731</v>
      </c>
      <c r="C37" s="74">
        <v>34</v>
      </c>
      <c r="D37" s="75">
        <f t="shared" si="2"/>
        <v>-673.362101079461</v>
      </c>
      <c r="E37" s="74">
        <f t="shared" si="15"/>
        <v>8233.72</v>
      </c>
      <c r="F37" s="75">
        <f t="shared" si="13"/>
        <v>8907.08210107946</v>
      </c>
      <c r="H37" s="31"/>
      <c r="I37" s="1"/>
      <c r="J37" s="31">
        <f t="shared" si="8"/>
        <v>0</v>
      </c>
      <c r="K37" s="74"/>
      <c r="L37" s="31"/>
      <c r="M37" s="85"/>
    </row>
    <row r="38" spans="2:13">
      <c r="B38" s="75">
        <f t="shared" si="16"/>
        <v>-42575.1871550525</v>
      </c>
      <c r="C38" s="74">
        <v>35</v>
      </c>
      <c r="D38" s="75">
        <f t="shared" si="2"/>
        <v>-851.50374310105</v>
      </c>
      <c r="E38" s="74">
        <f t="shared" si="15"/>
        <v>8233.72</v>
      </c>
      <c r="F38" s="75">
        <f t="shared" si="13"/>
        <v>9085.22374310105</v>
      </c>
      <c r="H38" s="31"/>
      <c r="I38" s="1"/>
      <c r="J38" s="31">
        <f t="shared" si="8"/>
        <v>0</v>
      </c>
      <c r="K38" s="74"/>
      <c r="L38" s="31"/>
      <c r="M38" s="85"/>
    </row>
    <row r="39" spans="2:13">
      <c r="B39" s="75">
        <f t="shared" si="16"/>
        <v>-51660.4108981536</v>
      </c>
      <c r="C39" s="74">
        <v>36</v>
      </c>
      <c r="D39" s="75">
        <f t="shared" si="2"/>
        <v>-1033.20821796307</v>
      </c>
      <c r="E39" s="74">
        <f t="shared" si="15"/>
        <v>8233.72</v>
      </c>
      <c r="F39" s="75">
        <f t="shared" si="13"/>
        <v>9266.92821796307</v>
      </c>
      <c r="H39" s="31"/>
      <c r="I39" s="1"/>
      <c r="J39" s="31">
        <f t="shared" si="8"/>
        <v>0</v>
      </c>
      <c r="K39" s="74"/>
      <c r="L39" s="31"/>
      <c r="M39" s="85"/>
    </row>
    <row r="41" spans="3:10">
      <c r="C41" s="1" t="s">
        <v>29</v>
      </c>
      <c r="D41" s="31">
        <f>SUM(D4:D13)+J4</f>
        <v>33585.8352416804</v>
      </c>
      <c r="E41" s="57">
        <f>SUM(E4:E14)</f>
        <v>90570.92</v>
      </c>
      <c r="F41" s="8">
        <f>D41+J41</f>
        <v>45688.6355119257</v>
      </c>
      <c r="I41" s="1" t="s">
        <v>30</v>
      </c>
      <c r="J41" s="31">
        <f>SUM(J9:J21)</f>
        <v>12102.8002702453</v>
      </c>
    </row>
    <row r="42" spans="5:10">
      <c r="E42" s="8"/>
      <c r="I42" s="57" t="s">
        <v>31</v>
      </c>
      <c r="J42" s="8">
        <f>SUM(J5:J8)</f>
        <v>7048.66699476244</v>
      </c>
    </row>
    <row r="43" spans="5:6">
      <c r="E43" s="8">
        <f>E4*36</f>
        <v>296413.92</v>
      </c>
      <c r="F43" s="8">
        <f>B4</f>
        <v>180000</v>
      </c>
    </row>
    <row r="44" spans="3:5">
      <c r="C44" s="8"/>
      <c r="E44" s="8"/>
    </row>
    <row r="45" spans="3:11">
      <c r="C45" s="8"/>
      <c r="E45" s="8"/>
      <c r="F45" s="8">
        <f>E43-D41-B4-J42</f>
        <v>75779.4177635571</v>
      </c>
      <c r="H45" s="8" t="s">
        <v>32</v>
      </c>
      <c r="I45" s="8"/>
      <c r="K45" s="8"/>
    </row>
    <row r="46" spans="5:5">
      <c r="E46" s="8"/>
    </row>
    <row r="47" spans="3:11">
      <c r="C47" s="8"/>
      <c r="E47" s="8"/>
      <c r="F47" s="8">
        <f>E43-B4-D41-J41-J42</f>
        <v>63676.6174933119</v>
      </c>
      <c r="H47" s="8" t="s">
        <v>33</v>
      </c>
      <c r="I47" s="8"/>
      <c r="K47" s="8"/>
    </row>
    <row r="48" spans="5:5">
      <c r="E48" s="8"/>
    </row>
    <row r="49" spans="3:5">
      <c r="C49" s="1" t="s">
        <v>34</v>
      </c>
      <c r="D49" s="31">
        <f>E4*36</f>
        <v>296413.92</v>
      </c>
      <c r="E49" s="1"/>
    </row>
    <row r="50" spans="3:5">
      <c r="C50" s="1" t="s">
        <v>35</v>
      </c>
      <c r="D50" s="31">
        <f>B4</f>
        <v>180000</v>
      </c>
      <c r="E50" s="1"/>
    </row>
    <row r="51" spans="3:5">
      <c r="C51" s="1" t="s">
        <v>36</v>
      </c>
      <c r="D51" s="31">
        <f>SUM(D4:D11)+SUM(J4:J8)</f>
        <v>35133.9280804572</v>
      </c>
      <c r="E51" s="1"/>
    </row>
    <row r="52" spans="3:5">
      <c r="C52" s="1" t="s">
        <v>31</v>
      </c>
      <c r="D52" s="31">
        <f>SUM(J9:J10)</f>
        <v>2967.75757559577</v>
      </c>
      <c r="E52" s="1" t="s">
        <v>37</v>
      </c>
    </row>
    <row r="53" spans="3:5">
      <c r="C53" s="1" t="s">
        <v>38</v>
      </c>
      <c r="D53" s="31">
        <f>SUM(D4:D11)+SUM(J4:J23)</f>
        <v>47495.5920278706</v>
      </c>
      <c r="E53" s="1" t="s">
        <v>39</v>
      </c>
    </row>
    <row r="54" spans="3:5">
      <c r="C54" s="1" t="s">
        <v>40</v>
      </c>
      <c r="D54" s="31">
        <f>D49-D50-D51-D52</f>
        <v>78312.234343947</v>
      </c>
      <c r="E54" s="1"/>
    </row>
    <row r="55" spans="3:5">
      <c r="C55" s="1" t="s">
        <v>41</v>
      </c>
      <c r="D55" s="31">
        <f>D49-D50-D53</f>
        <v>68918.3279721294</v>
      </c>
      <c r="E55" s="1"/>
    </row>
    <row r="60" ht="15.15"/>
    <row r="61" ht="28.8" spans="2:11">
      <c r="B61" s="79" t="s">
        <v>42</v>
      </c>
      <c r="C61" s="80" t="s">
        <v>43</v>
      </c>
      <c r="D61" s="80" t="s">
        <v>44</v>
      </c>
      <c r="E61" s="80" t="s">
        <v>45</v>
      </c>
      <c r="F61" s="81" t="s">
        <v>31</v>
      </c>
      <c r="H61" s="82" t="s">
        <v>46</v>
      </c>
      <c r="I61" s="94"/>
      <c r="J61" s="94"/>
      <c r="K61" s="95"/>
    </row>
    <row r="62" spans="2:11">
      <c r="B62" s="24"/>
      <c r="C62" s="31"/>
      <c r="D62" s="25"/>
      <c r="E62" s="25"/>
      <c r="F62" s="53"/>
      <c r="H62" s="83"/>
      <c r="I62" s="8"/>
      <c r="K62" s="96"/>
    </row>
    <row r="63" spans="2:11">
      <c r="B63" s="84"/>
      <c r="C63" s="25"/>
      <c r="D63" s="25"/>
      <c r="E63" s="25"/>
      <c r="F63" s="53"/>
      <c r="H63" s="83"/>
      <c r="I63" s="8"/>
      <c r="K63" s="96"/>
    </row>
    <row r="64" spans="2:11">
      <c r="B64" s="84"/>
      <c r="C64" s="25"/>
      <c r="D64" s="25"/>
      <c r="E64" s="25"/>
      <c r="F64" s="53"/>
      <c r="H64" s="83"/>
      <c r="I64" s="8"/>
      <c r="K64" s="96"/>
    </row>
    <row r="65" ht="15.15" spans="2:11">
      <c r="B65" s="16"/>
      <c r="C65" s="17"/>
      <c r="D65" s="17"/>
      <c r="E65" s="17"/>
      <c r="F65" s="51"/>
      <c r="H65" s="97"/>
      <c r="I65" s="99"/>
      <c r="J65" s="99"/>
      <c r="K65" s="100"/>
    </row>
    <row r="67" spans="2:6">
      <c r="B67" s="98"/>
      <c r="C67" s="98"/>
      <c r="D67" s="98"/>
      <c r="E67" s="98"/>
      <c r="F67" s="98"/>
    </row>
    <row r="68" spans="2:6">
      <c r="B68" s="98"/>
      <c r="C68" s="98"/>
      <c r="D68" s="98"/>
      <c r="E68" s="98"/>
      <c r="F68" s="98"/>
    </row>
  </sheetData>
  <mergeCells count="10">
    <mergeCell ref="B1:F1"/>
    <mergeCell ref="H1:L1"/>
    <mergeCell ref="N10:O10"/>
    <mergeCell ref="C45:E45"/>
    <mergeCell ref="H45:L45"/>
    <mergeCell ref="C47:E47"/>
    <mergeCell ref="H47:L47"/>
    <mergeCell ref="N13:O20"/>
    <mergeCell ref="H61:K65"/>
    <mergeCell ref="B67:F6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399975585192419"/>
  </sheetPr>
  <dimension ref="A1:G7"/>
  <sheetViews>
    <sheetView workbookViewId="0">
      <selection activeCell="C25" sqref="C25"/>
    </sheetView>
  </sheetViews>
  <sheetFormatPr defaultColWidth="11.5" defaultRowHeight="14.4" outlineLevelRow="6" outlineLevelCol="6"/>
  <cols>
    <col min="1" max="1" width="13.3796296296296" style="6" customWidth="1"/>
    <col min="2" max="2" width="11.5" style="6" customWidth="1"/>
    <col min="3" max="3" width="14.1296296296296" style="6" customWidth="1"/>
    <col min="4" max="4" width="11.5" style="6" customWidth="1"/>
    <col min="5" max="16384" width="11.5" style="6"/>
  </cols>
  <sheetData>
    <row r="1" ht="25.5" customHeight="1" spans="1:7">
      <c r="A1" s="60" t="s">
        <v>47</v>
      </c>
      <c r="B1" s="60"/>
      <c r="C1" s="60"/>
      <c r="D1" s="60"/>
      <c r="E1" s="60"/>
      <c r="F1" s="61" t="s">
        <v>48</v>
      </c>
      <c r="G1" s="61"/>
    </row>
    <row r="2" ht="21.95" customHeight="1" spans="1:7">
      <c r="A2" s="62" t="s">
        <v>49</v>
      </c>
      <c r="B2" s="62"/>
      <c r="C2" s="62"/>
      <c r="D2" s="62"/>
      <c r="E2" s="62"/>
      <c r="F2" s="61"/>
      <c r="G2" s="61"/>
    </row>
    <row r="3" spans="1:5">
      <c r="A3" s="29" t="s">
        <v>50</v>
      </c>
      <c r="B3" s="29" t="s">
        <v>51</v>
      </c>
      <c r="C3" s="29" t="s">
        <v>52</v>
      </c>
      <c r="D3" s="29" t="s">
        <v>53</v>
      </c>
      <c r="E3" s="29" t="s">
        <v>31</v>
      </c>
    </row>
    <row r="4" spans="1:5">
      <c r="A4" s="63">
        <v>176284.795675149</v>
      </c>
      <c r="B4" s="64">
        <v>0.24</v>
      </c>
      <c r="C4" s="3">
        <v>12</v>
      </c>
      <c r="D4" s="63">
        <v>0</v>
      </c>
      <c r="E4" s="14">
        <f>A4*B4/C4*D4</f>
        <v>0</v>
      </c>
    </row>
    <row r="5" spans="1:5">
      <c r="A5" s="63">
        <v>111503.15</v>
      </c>
      <c r="B5" s="64">
        <v>0.17</v>
      </c>
      <c r="C5" s="3">
        <v>12</v>
      </c>
      <c r="D5" s="63">
        <v>5</v>
      </c>
      <c r="E5" s="14">
        <f>A5*B5/C5*D5</f>
        <v>7898.13979166667</v>
      </c>
    </row>
    <row r="7" spans="2:2">
      <c r="B7" s="65"/>
    </row>
  </sheetData>
  <mergeCells count="3">
    <mergeCell ref="A1:E1"/>
    <mergeCell ref="A2:E2"/>
    <mergeCell ref="F1:G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3"/>
  <sheetViews>
    <sheetView topLeftCell="A25" workbookViewId="0">
      <selection activeCell="J34" sqref="J34"/>
    </sheetView>
  </sheetViews>
  <sheetFormatPr defaultColWidth="9" defaultRowHeight="14.4"/>
  <cols>
    <col min="1" max="1" width="10.8796296296296" style="6" customWidth="1"/>
    <col min="2" max="2" width="10.3796296296296" style="6"/>
    <col min="3" max="3" width="11.6296296296296" style="6" customWidth="1"/>
    <col min="4" max="4" width="10.3796296296296" style="6"/>
    <col min="5" max="5" width="16.25" style="7" customWidth="1"/>
    <col min="6" max="6" width="12.6296296296296" style="8" customWidth="1"/>
    <col min="7" max="7" width="12.75" style="8" customWidth="1"/>
    <col min="8" max="8" width="14.1296296296296" style="6"/>
    <col min="9" max="9" width="9.37962962962963" style="6"/>
    <col min="10" max="10" width="10" style="6" customWidth="1"/>
    <col min="11" max="11" width="20.1296296296296" style="6" customWidth="1"/>
    <col min="12" max="12" width="12.5" style="6" customWidth="1"/>
    <col min="13" max="13" width="9" style="6"/>
    <col min="14" max="14" width="12.6296296296296" style="6"/>
    <col min="15" max="16374" width="9" style="6"/>
  </cols>
  <sheetData>
    <row r="1" ht="31.5" customHeight="1" spans="1:12">
      <c r="A1" s="9"/>
      <c r="B1" s="10" t="s">
        <v>34</v>
      </c>
      <c r="C1" s="10" t="s">
        <v>54</v>
      </c>
      <c r="D1" s="10" t="s">
        <v>55</v>
      </c>
      <c r="E1" s="11" t="s">
        <v>56</v>
      </c>
      <c r="F1" s="12" t="s">
        <v>57</v>
      </c>
      <c r="G1" s="12" t="s">
        <v>58</v>
      </c>
      <c r="H1" s="10" t="s">
        <v>59</v>
      </c>
      <c r="I1" s="10" t="s">
        <v>60</v>
      </c>
      <c r="J1" s="10" t="s">
        <v>61</v>
      </c>
      <c r="K1" s="10" t="s">
        <v>45</v>
      </c>
      <c r="L1" s="48" t="s">
        <v>62</v>
      </c>
    </row>
    <row r="2" spans="1:12">
      <c r="A2" s="13" t="s">
        <v>63</v>
      </c>
      <c r="B2" s="3"/>
      <c r="C2" s="3"/>
      <c r="D2" s="3"/>
      <c r="E2" s="14"/>
      <c r="F2" s="15"/>
      <c r="G2" s="15"/>
      <c r="H2" s="3"/>
      <c r="I2" s="3"/>
      <c r="J2" s="3"/>
      <c r="K2" s="14"/>
      <c r="L2" s="49"/>
    </row>
    <row r="3" spans="1:12">
      <c r="A3" s="13"/>
      <c r="B3" s="3"/>
      <c r="C3" s="3"/>
      <c r="D3" s="3"/>
      <c r="E3" s="14"/>
      <c r="F3" s="15"/>
      <c r="G3" s="15"/>
      <c r="H3" s="3"/>
      <c r="I3" s="3"/>
      <c r="J3" s="3"/>
      <c r="K3" s="3"/>
      <c r="L3" s="50"/>
    </row>
    <row r="4" ht="15.15" spans="1:12">
      <c r="A4" s="16" t="s">
        <v>64</v>
      </c>
      <c r="B4" s="17"/>
      <c r="C4" s="17"/>
      <c r="D4" s="17"/>
      <c r="E4" s="18"/>
      <c r="F4" s="19"/>
      <c r="G4" s="19"/>
      <c r="H4" s="17"/>
      <c r="I4" s="17"/>
      <c r="J4" s="17"/>
      <c r="K4" s="18"/>
      <c r="L4" s="51"/>
    </row>
    <row r="5" spans="1:12">
      <c r="A5" s="20"/>
      <c r="B5" s="21"/>
      <c r="C5" s="21"/>
      <c r="D5" s="21"/>
      <c r="E5" s="22"/>
      <c r="F5" s="23"/>
      <c r="G5" s="23"/>
      <c r="H5" s="21"/>
      <c r="I5" s="21"/>
      <c r="J5" s="21"/>
      <c r="K5" s="22"/>
      <c r="L5" s="52"/>
    </row>
    <row r="6" spans="1:12">
      <c r="A6" s="24"/>
      <c r="B6" s="25"/>
      <c r="C6" s="25"/>
      <c r="D6" s="25"/>
      <c r="E6" s="26"/>
      <c r="F6" s="27"/>
      <c r="G6" s="27"/>
      <c r="H6" s="25"/>
      <c r="I6" s="25"/>
      <c r="J6" s="25"/>
      <c r="K6" s="26"/>
      <c r="L6" s="53"/>
    </row>
    <row r="7" spans="1:12">
      <c r="A7" s="24"/>
      <c r="B7" s="25"/>
      <c r="C7" s="25"/>
      <c r="D7" s="25"/>
      <c r="E7" s="26"/>
      <c r="F7" s="27"/>
      <c r="G7" s="27"/>
      <c r="H7" s="25"/>
      <c r="I7" s="25"/>
      <c r="J7" s="25"/>
      <c r="K7" s="26"/>
      <c r="L7" s="53"/>
    </row>
    <row r="8" ht="35" customHeight="1" spans="1:12">
      <c r="A8" s="28"/>
      <c r="B8" s="3"/>
      <c r="C8" s="3"/>
      <c r="D8" s="3"/>
      <c r="E8" s="14"/>
      <c r="F8" s="15"/>
      <c r="G8" s="15"/>
      <c r="H8" s="3"/>
      <c r="I8" s="14"/>
      <c r="J8" s="3"/>
      <c r="K8" s="54"/>
      <c r="L8" s="14"/>
    </row>
    <row r="9" spans="1:12">
      <c r="A9" s="29"/>
      <c r="B9" s="3"/>
      <c r="C9" s="3"/>
      <c r="D9" s="3"/>
      <c r="E9" s="14"/>
      <c r="F9" s="15"/>
      <c r="G9" s="15"/>
      <c r="H9" s="3"/>
      <c r="I9" s="3"/>
      <c r="J9" s="3"/>
      <c r="K9" s="14"/>
      <c r="L9" s="14"/>
    </row>
    <row r="10" spans="1:12">
      <c r="A10" s="30"/>
      <c r="B10" s="3"/>
      <c r="C10" s="3"/>
      <c r="D10" s="3"/>
      <c r="E10" s="14"/>
      <c r="F10" s="15"/>
      <c r="G10" s="15"/>
      <c r="H10" s="3"/>
      <c r="I10" s="3"/>
      <c r="J10" s="3"/>
      <c r="K10" s="14"/>
      <c r="L10" s="14"/>
    </row>
    <row r="11" spans="1:12">
      <c r="A11" s="30"/>
      <c r="B11" s="3"/>
      <c r="C11" s="3"/>
      <c r="D11" s="3"/>
      <c r="E11" s="14"/>
      <c r="F11" s="15"/>
      <c r="G11" s="15"/>
      <c r="H11" s="3"/>
      <c r="I11" s="3"/>
      <c r="J11" s="3"/>
      <c r="K11" s="14"/>
      <c r="L11" s="14"/>
    </row>
    <row r="12" spans="1:12">
      <c r="A12" s="29"/>
      <c r="B12" s="3"/>
      <c r="C12" s="3"/>
      <c r="D12" s="3"/>
      <c r="E12" s="14"/>
      <c r="F12" s="15"/>
      <c r="G12" s="15"/>
      <c r="H12" s="3"/>
      <c r="I12" s="3"/>
      <c r="J12" s="3"/>
      <c r="K12" s="14"/>
      <c r="L12" s="14"/>
    </row>
    <row r="13" spans="1:12">
      <c r="A13" s="29"/>
      <c r="B13" s="3"/>
      <c r="C13" s="3"/>
      <c r="D13" s="3"/>
      <c r="E13" s="14"/>
      <c r="F13" s="15"/>
      <c r="G13" s="15"/>
      <c r="H13" s="3"/>
      <c r="I13" s="3"/>
      <c r="J13" s="3"/>
      <c r="K13" s="14"/>
      <c r="L13" s="14"/>
    </row>
    <row r="14" spans="1:12">
      <c r="A14" s="29"/>
      <c r="B14" s="3"/>
      <c r="C14" s="3"/>
      <c r="D14" s="3"/>
      <c r="E14" s="14"/>
      <c r="F14" s="15"/>
      <c r="G14" s="15"/>
      <c r="H14" s="3"/>
      <c r="I14" s="3"/>
      <c r="J14" s="3"/>
      <c r="K14" s="14"/>
      <c r="L14" s="14"/>
    </row>
    <row r="15" spans="1:12">
      <c r="A15" s="29"/>
      <c r="B15" s="3"/>
      <c r="C15" s="3"/>
      <c r="D15" s="3"/>
      <c r="E15" s="14"/>
      <c r="F15" s="15"/>
      <c r="G15" s="15"/>
      <c r="H15" s="3"/>
      <c r="I15" s="14"/>
      <c r="J15" s="3"/>
      <c r="K15" s="14"/>
      <c r="L15" s="14"/>
    </row>
    <row r="16" spans="1:12">
      <c r="A16" s="29"/>
      <c r="B16" s="3"/>
      <c r="C16" s="3"/>
      <c r="D16" s="3"/>
      <c r="E16" s="14"/>
      <c r="F16" s="15"/>
      <c r="G16" s="15"/>
      <c r="H16" s="3"/>
      <c r="I16" s="14"/>
      <c r="J16" s="3"/>
      <c r="K16" s="14"/>
      <c r="L16" s="14"/>
    </row>
    <row r="17" spans="1:12">
      <c r="A17" s="29"/>
      <c r="B17" s="3"/>
      <c r="C17" s="3"/>
      <c r="D17" s="3"/>
      <c r="E17" s="14"/>
      <c r="F17" s="15"/>
      <c r="G17" s="15"/>
      <c r="H17" s="3"/>
      <c r="I17" s="14"/>
      <c r="J17" s="3"/>
      <c r="K17" s="14"/>
      <c r="L17" s="14"/>
    </row>
    <row r="18" spans="1:12">
      <c r="A18" s="29"/>
      <c r="B18" s="3"/>
      <c r="C18" s="3"/>
      <c r="D18" s="3"/>
      <c r="E18" s="14"/>
      <c r="F18" s="15"/>
      <c r="G18" s="15"/>
      <c r="H18" s="3"/>
      <c r="I18" s="14"/>
      <c r="J18" s="3"/>
      <c r="K18" s="14"/>
      <c r="L18" s="14"/>
    </row>
    <row r="19" spans="1:12">
      <c r="A19" s="29"/>
      <c r="B19" s="3"/>
      <c r="C19" s="3"/>
      <c r="D19" s="3"/>
      <c r="E19" s="14"/>
      <c r="F19" s="15"/>
      <c r="G19" s="15"/>
      <c r="H19" s="3"/>
      <c r="I19" s="14"/>
      <c r="J19" s="3"/>
      <c r="K19" s="14"/>
      <c r="L19" s="14"/>
    </row>
    <row r="20" spans="1:12">
      <c r="A20" s="3"/>
      <c r="B20" s="3"/>
      <c r="C20" s="3"/>
      <c r="D20" s="3"/>
      <c r="E20" s="14"/>
      <c r="F20" s="31"/>
      <c r="G20" s="31"/>
      <c r="H20" s="3"/>
      <c r="I20" s="14"/>
      <c r="J20" s="3"/>
      <c r="K20" s="3"/>
      <c r="L20" s="14"/>
    </row>
    <row r="21" spans="1:13">
      <c r="A21" s="32" t="s">
        <v>65</v>
      </c>
      <c r="B21" s="33"/>
      <c r="C21" s="33"/>
      <c r="D21" s="33"/>
      <c r="E21" s="33"/>
      <c r="F21" s="33"/>
      <c r="G21" s="33"/>
      <c r="H21" s="33"/>
      <c r="I21" s="33"/>
      <c r="J21" s="55"/>
      <c r="K21" s="56"/>
      <c r="L21" s="56"/>
      <c r="M21" s="57"/>
    </row>
    <row r="22" spans="1:13">
      <c r="A22" s="34"/>
      <c r="B22" s="35"/>
      <c r="C22" s="35"/>
      <c r="D22" s="35"/>
      <c r="E22" s="35"/>
      <c r="F22" s="35"/>
      <c r="G22" s="35"/>
      <c r="H22" s="35"/>
      <c r="I22" s="35"/>
      <c r="J22" s="58"/>
      <c r="K22" s="56"/>
      <c r="L22" s="56"/>
      <c r="M22" s="57"/>
    </row>
    <row r="23" spans="1:13">
      <c r="A23" s="34"/>
      <c r="B23" s="35"/>
      <c r="C23" s="35"/>
      <c r="D23" s="35"/>
      <c r="E23" s="35"/>
      <c r="F23" s="35"/>
      <c r="G23" s="35"/>
      <c r="H23" s="35"/>
      <c r="I23" s="35"/>
      <c r="J23" s="58"/>
      <c r="K23" s="56"/>
      <c r="L23" s="56"/>
      <c r="M23" s="57"/>
    </row>
    <row r="24" spans="1:13">
      <c r="A24" s="34"/>
      <c r="B24" s="35"/>
      <c r="C24" s="35"/>
      <c r="D24" s="35"/>
      <c r="E24" s="35"/>
      <c r="F24" s="35"/>
      <c r="G24" s="35"/>
      <c r="H24" s="35"/>
      <c r="I24" s="35"/>
      <c r="J24" s="58"/>
      <c r="K24" s="56"/>
      <c r="L24" s="56"/>
      <c r="M24" s="57"/>
    </row>
    <row r="25" spans="1:13">
      <c r="A25" s="34"/>
      <c r="B25" s="35"/>
      <c r="C25" s="35"/>
      <c r="D25" s="35"/>
      <c r="E25" s="35"/>
      <c r="F25" s="35"/>
      <c r="G25" s="35"/>
      <c r="H25" s="35"/>
      <c r="I25" s="35"/>
      <c r="J25" s="58"/>
      <c r="K25" s="56"/>
      <c r="L25" s="56"/>
      <c r="M25" s="57"/>
    </row>
    <row r="26" ht="93" customHeight="1" spans="1:13">
      <c r="A26" s="36"/>
      <c r="B26" s="37"/>
      <c r="C26" s="37"/>
      <c r="D26" s="37"/>
      <c r="E26" s="37"/>
      <c r="F26" s="37"/>
      <c r="G26" s="37"/>
      <c r="H26" s="37"/>
      <c r="I26" s="37"/>
      <c r="J26" s="59"/>
      <c r="K26" s="56"/>
      <c r="L26" s="56"/>
      <c r="M26" s="57"/>
    </row>
    <row r="28" spans="1:12">
      <c r="A28" s="38" t="s">
        <v>66</v>
      </c>
      <c r="B28" s="39"/>
      <c r="C28" s="39"/>
      <c r="D28" s="39"/>
      <c r="E28" s="39"/>
      <c r="F28" s="40"/>
      <c r="G28" s="41"/>
      <c r="H28" s="41"/>
      <c r="I28" s="41"/>
      <c r="J28" s="41"/>
      <c r="K28" s="41"/>
      <c r="L28" s="41"/>
    </row>
    <row r="29" spans="1:12">
      <c r="A29" s="42"/>
      <c r="B29" s="43"/>
      <c r="C29" s="43"/>
      <c r="D29" s="43"/>
      <c r="E29" s="43"/>
      <c r="F29" s="44"/>
      <c r="G29" s="41">
        <f>G30-G31-G32-G33</f>
        <v>-51692.3246531091</v>
      </c>
      <c r="H29" s="41"/>
      <c r="I29" s="41"/>
      <c r="J29" s="41"/>
      <c r="K29" s="41"/>
      <c r="L29" s="41"/>
    </row>
    <row r="30" spans="1:12">
      <c r="A30" s="42"/>
      <c r="B30" s="43"/>
      <c r="C30" s="43"/>
      <c r="D30" s="43"/>
      <c r="E30" s="43"/>
      <c r="F30" s="44"/>
      <c r="G30" s="41">
        <f>3201*36</f>
        <v>115236</v>
      </c>
      <c r="H30" s="41"/>
      <c r="I30" s="41"/>
      <c r="J30" s="41"/>
      <c r="K30" s="41"/>
      <c r="L30" s="41"/>
    </row>
    <row r="31" spans="1:12">
      <c r="A31" s="42"/>
      <c r="B31" s="43"/>
      <c r="C31" s="43"/>
      <c r="D31" s="43"/>
      <c r="E31" s="43"/>
      <c r="F31" s="44"/>
      <c r="G31" s="41">
        <f>3201*7</f>
        <v>22407</v>
      </c>
      <c r="H31" s="41"/>
      <c r="I31" s="41"/>
      <c r="J31" s="41"/>
      <c r="K31" s="41"/>
      <c r="L31" s="41"/>
    </row>
    <row r="32" spans="1:12">
      <c r="A32" s="42"/>
      <c r="B32" s="43"/>
      <c r="C32" s="43"/>
      <c r="D32" s="43"/>
      <c r="E32" s="43"/>
      <c r="F32" s="44"/>
      <c r="G32" s="41">
        <f>客户方案计算表!H4</f>
        <v>140228.924653109</v>
      </c>
      <c r="H32" s="41"/>
      <c r="I32" s="41"/>
      <c r="J32" s="41"/>
      <c r="K32" s="41"/>
      <c r="L32" s="41"/>
    </row>
    <row r="33" spans="1:12">
      <c r="A33" s="42"/>
      <c r="B33" s="43"/>
      <c r="C33" s="43"/>
      <c r="D33" s="43"/>
      <c r="E33" s="43"/>
      <c r="F33" s="44"/>
      <c r="G33" s="41">
        <v>4292.4</v>
      </c>
      <c r="H33" s="41"/>
      <c r="I33" s="41"/>
      <c r="J33" s="41"/>
      <c r="K33" s="41"/>
      <c r="L33" s="41"/>
    </row>
    <row r="34" spans="1:12">
      <c r="A34" s="42"/>
      <c r="B34" s="43"/>
      <c r="C34" s="43"/>
      <c r="D34" s="43"/>
      <c r="E34" s="43"/>
      <c r="F34" s="44"/>
      <c r="G34" s="41"/>
      <c r="H34" s="41"/>
      <c r="I34" s="41"/>
      <c r="J34" s="41"/>
      <c r="K34" s="41"/>
      <c r="L34" s="41"/>
    </row>
    <row r="35" spans="1:12">
      <c r="A35" s="45"/>
      <c r="B35" s="46"/>
      <c r="C35" s="46"/>
      <c r="D35" s="46"/>
      <c r="E35" s="46"/>
      <c r="F35" s="47"/>
      <c r="G35" s="41"/>
      <c r="H35" s="41"/>
      <c r="I35" s="41"/>
      <c r="J35" s="41"/>
      <c r="K35" s="41"/>
      <c r="L35" s="41"/>
    </row>
    <row r="37" spans="1:12">
      <c r="A37" s="38" t="s">
        <v>67</v>
      </c>
      <c r="B37" s="39"/>
      <c r="C37" s="39"/>
      <c r="D37" s="39"/>
      <c r="E37" s="39"/>
      <c r="F37" s="40"/>
      <c r="G37" s="41">
        <f>G38-G39-G40-G41</f>
        <v>-56421.3746531091</v>
      </c>
      <c r="H37" s="41"/>
      <c r="I37" s="41"/>
      <c r="J37" s="41"/>
      <c r="K37" s="41"/>
      <c r="L37" s="41"/>
    </row>
    <row r="38" spans="1:12">
      <c r="A38" s="42"/>
      <c r="B38" s="43"/>
      <c r="C38" s="43"/>
      <c r="D38" s="43"/>
      <c r="E38" s="43"/>
      <c r="F38" s="44"/>
      <c r="G38" s="41">
        <f>3201*36</f>
        <v>115236</v>
      </c>
      <c r="H38" s="41"/>
      <c r="I38" s="41"/>
      <c r="J38" s="41"/>
      <c r="K38" s="41"/>
      <c r="L38" s="41"/>
    </row>
    <row r="39" spans="1:12">
      <c r="A39" s="42"/>
      <c r="B39" s="43"/>
      <c r="C39" s="43"/>
      <c r="D39" s="43"/>
      <c r="E39" s="43"/>
      <c r="F39" s="44"/>
      <c r="G39" s="41">
        <f>3201*7</f>
        <v>22407</v>
      </c>
      <c r="H39" s="41"/>
      <c r="I39" s="41"/>
      <c r="J39" s="41"/>
      <c r="K39" s="41"/>
      <c r="L39" s="41"/>
    </row>
    <row r="40" spans="1:12">
      <c r="A40" s="42"/>
      <c r="B40" s="43"/>
      <c r="C40" s="43"/>
      <c r="D40" s="43"/>
      <c r="E40" s="43"/>
      <c r="F40" s="44"/>
      <c r="G40" s="41">
        <f>客户方案计算表!H4</f>
        <v>140228.924653109</v>
      </c>
      <c r="H40" s="41"/>
      <c r="I40" s="41"/>
      <c r="J40" s="41"/>
      <c r="K40" s="41"/>
      <c r="L40" s="41"/>
    </row>
    <row r="41" spans="1:12">
      <c r="A41" s="42"/>
      <c r="B41" s="43"/>
      <c r="C41" s="43"/>
      <c r="D41" s="43"/>
      <c r="E41" s="43"/>
      <c r="F41" s="44"/>
      <c r="G41" s="41">
        <v>9021.45</v>
      </c>
      <c r="H41" s="41"/>
      <c r="I41" s="41"/>
      <c r="J41" s="41"/>
      <c r="K41" s="41"/>
      <c r="L41" s="41"/>
    </row>
    <row r="42" spans="1:12">
      <c r="A42" s="42"/>
      <c r="B42" s="43"/>
      <c r="C42" s="43"/>
      <c r="D42" s="43"/>
      <c r="E42" s="43"/>
      <c r="F42" s="44"/>
      <c r="G42" s="41"/>
      <c r="H42" s="41"/>
      <c r="I42" s="41"/>
      <c r="J42" s="41"/>
      <c r="K42" s="41"/>
      <c r="L42" s="41"/>
    </row>
    <row r="43" ht="33" customHeight="1" spans="1:12">
      <c r="A43" s="45"/>
      <c r="B43" s="46"/>
      <c r="C43" s="46"/>
      <c r="D43" s="46"/>
      <c r="E43" s="46"/>
      <c r="F43" s="47"/>
      <c r="G43" s="41"/>
      <c r="H43" s="41"/>
      <c r="I43" s="41"/>
      <c r="J43" s="41"/>
      <c r="K43" s="41"/>
      <c r="L43" s="41"/>
    </row>
  </sheetData>
  <mergeCells count="4">
    <mergeCell ref="M21:M26"/>
    <mergeCell ref="A28:F35"/>
    <mergeCell ref="A37:F43"/>
    <mergeCell ref="A21:J26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3:K5"/>
  <sheetViews>
    <sheetView workbookViewId="0">
      <selection activeCell="M5" sqref="M5"/>
    </sheetView>
  </sheetViews>
  <sheetFormatPr defaultColWidth="9" defaultRowHeight="14.4" outlineLevelRow="4"/>
  <cols>
    <col min="7" max="7" width="12.6296296296296"/>
    <col min="10" max="10" width="9.12962962962963"/>
  </cols>
  <sheetData>
    <row r="3" ht="28.8" spans="6:11">
      <c r="F3" s="1" t="s">
        <v>68</v>
      </c>
      <c r="G3" s="1" t="s">
        <v>69</v>
      </c>
      <c r="H3" s="2" t="s">
        <v>70</v>
      </c>
      <c r="I3" s="1" t="s">
        <v>59</v>
      </c>
      <c r="J3" s="1" t="s">
        <v>71</v>
      </c>
      <c r="K3" s="4" t="s">
        <v>53</v>
      </c>
    </row>
    <row r="4" spans="6:11">
      <c r="F4" s="3">
        <v>150000</v>
      </c>
      <c r="G4" s="3">
        <v>36</v>
      </c>
      <c r="H4" s="3">
        <v>6108</v>
      </c>
      <c r="I4" s="3">
        <v>11</v>
      </c>
      <c r="J4" s="5">
        <v>44063</v>
      </c>
      <c r="K4" s="3">
        <v>5</v>
      </c>
    </row>
    <row r="5" spans="6:11">
      <c r="F5" s="3">
        <v>100000</v>
      </c>
      <c r="G5" s="3">
        <v>36</v>
      </c>
      <c r="H5" s="3">
        <v>4864</v>
      </c>
      <c r="I5" s="3">
        <v>19</v>
      </c>
      <c r="J5" s="5">
        <v>44520</v>
      </c>
      <c r="K5" s="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客户方案计算表</vt:lpstr>
      <vt:lpstr>逾期利息</vt:lpstr>
      <vt:lpstr>减免计算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yymcc</cp:lastModifiedBy>
  <dcterms:created xsi:type="dcterms:W3CDTF">2020-09-30T02:40:00Z</dcterms:created>
  <dcterms:modified xsi:type="dcterms:W3CDTF">2021-01-28T15:04:57Z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KSOReadingLayout">
    <vt:bool>true</vt:bool>
  </property>
</Properties>
</file>