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客户方案计算表" sheetId="1" r:id="rId1"/>
    <sheet name="逾期利息" sheetId="2" r:id="rId2"/>
    <sheet name="减免计算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<sst xmlns="http://schemas.openxmlformats.org/spreadsheetml/2006/main" count="82" uniqueCount="69">
  <si>
    <t>2020.8.19日及之前的利率核算表</t>
  </si>
  <si>
    <t>2020.8.20日及之后的利率核算表</t>
  </si>
  <si>
    <t>使用说明</t>
  </si>
  <si>
    <t>手动填写第一行数据</t>
  </si>
  <si>
    <r>
      <rPr>
        <b/>
        <sz val="11"/>
        <color theme="1"/>
        <rFont val="宋体"/>
        <charset val="134"/>
        <scheme val="minor"/>
      </rPr>
      <t xml:space="preserve">还款期数为2020.8.19日及之前期数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</si>
  <si>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>计息本金*</t>
    </r>
    <r>
      <rPr>
        <b/>
        <sz val="11"/>
        <color theme="1"/>
        <rFont val="宋体"/>
        <charset val="134"/>
        <scheme val="minor"/>
      </rPr>
      <t>24</t>
    </r>
    <r>
      <rPr>
        <b/>
        <sz val="11"/>
        <color theme="1"/>
        <rFont val="宋体"/>
        <charset val="134"/>
        <scheme val="minor"/>
      </rPr>
      <t xml:space="preserve">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</si>
  <si>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r>
      <rPr>
        <b/>
        <sz val="11"/>
        <color theme="1"/>
        <rFont val="宋体"/>
        <charset val="134"/>
        <scheme val="minor"/>
      </rPr>
      <t xml:space="preserve">与签订合同保持一致
</t>
    </r>
    <r>
      <rPr>
        <sz val="10"/>
        <color rgb="FFFF0000"/>
        <rFont val="宋体"/>
        <charset val="134"/>
        <scheme val="minor"/>
      </rPr>
      <t>此列第一格需要手动填写</t>
    </r>
  </si>
  <si>
    <t>此列为公式
不要修改</t>
  </si>
  <si>
    <r>
      <rPr>
        <b/>
        <sz val="11"/>
        <color theme="1"/>
        <rFont val="宋体"/>
        <charset val="134"/>
        <scheme val="minor"/>
      </rPr>
      <t xml:space="preserve">还款期数为2020.8.20日及之后的期数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</si>
  <si>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 xml:space="preserve">计息本金*17%/12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</si>
  <si>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t>计息本金</t>
  </si>
  <si>
    <t>还款期数
（合同）</t>
  </si>
  <si>
    <t>每月应还利息金额</t>
  </si>
  <si>
    <t>每月还款金额</t>
  </si>
  <si>
    <t>每月应抵本金</t>
  </si>
  <si>
    <t>数值对应关系</t>
  </si>
  <si>
    <t>解释</t>
  </si>
  <si>
    <t>计息本金=客户实际到账本金，不包含砍头息</t>
  </si>
  <si>
    <r>
      <rPr>
        <sz val="11"/>
        <color theme="1"/>
        <rFont val="宋体"/>
        <charset val="134"/>
        <scheme val="minor"/>
      </rPr>
      <t>每月应还利息=计息本金*1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</t>
    </r>
  </si>
  <si>
    <r>
      <rPr>
        <sz val="11"/>
        <color theme="1"/>
        <rFont val="宋体"/>
        <charset val="134"/>
        <scheme val="minor"/>
      </rPr>
      <t>每个月客户按1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%应该还的利息</t>
    </r>
  </si>
  <si>
    <t>每月还款金额=合同约定还款金额</t>
  </si>
  <si>
    <t>每月应抵本金=还款金额-应还利息金额</t>
  </si>
  <si>
    <t>第二期计息本金=客户实际到账本金-应抵本金</t>
  </si>
  <si>
    <r>
      <rPr>
        <sz val="11"/>
        <color theme="1"/>
        <rFont val="宋体"/>
        <charset val="134"/>
        <scheme val="minor"/>
      </rPr>
      <t>逾期利息=剩余本金*1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%/12*逾期期数</t>
    </r>
  </si>
  <si>
    <t>这个利息直到客户清偿之日为止</t>
  </si>
  <si>
    <r>
      <rPr>
        <sz val="11"/>
        <color theme="1"/>
        <rFont val="宋体"/>
        <charset val="134"/>
        <scheme val="minor"/>
      </rPr>
      <t>客户年化率，按</t>
    </r>
    <r>
      <rPr>
        <b/>
        <sz val="11"/>
        <color rgb="FFFF0000"/>
        <rFont val="宋体"/>
        <charset val="134"/>
        <scheme val="minor"/>
      </rPr>
      <t>鲸算师APP</t>
    </r>
    <r>
      <rPr>
        <sz val="11"/>
        <color theme="1"/>
        <rFont val="宋体"/>
        <charset val="134"/>
        <scheme val="minor"/>
      </rPr>
      <t>进行计算，进入APP后选择贷款利率</t>
    </r>
  </si>
  <si>
    <t>借款总额</t>
  </si>
  <si>
    <t>客户实际到账金额</t>
  </si>
  <si>
    <t>在进行计算时，需要了解客户合同签订时间、还款期数。从签订合同之日起至2020.8.20日，每期年化率按24%核算，2020.8.20日至还款结清月份，每期年化率按17%核算。
表格一测算的是从客户签订合同之日起至2020.8.20日，每期年化率按24%核算的结果；表格二测算的是客户从2020.8.20日至还款结清月份，每期年化率按17%核算的结果</t>
  </si>
  <si>
    <t>已付利息：</t>
  </si>
  <si>
    <t>未付利息：</t>
  </si>
  <si>
    <t>逾期利息</t>
  </si>
  <si>
    <t>最大减免=合同总金额-本金-已还利息-逾期利息</t>
  </si>
  <si>
    <t>最小减免=合同总金额-本金-全部法定利息-逾期利息</t>
  </si>
  <si>
    <t>合同金额</t>
  </si>
  <si>
    <t>本金</t>
  </si>
  <si>
    <t>客户情况：本金180000 最后一次还款1.12 每月还款金额8233.72  已还9期  逾期0  已还金额74103.48</t>
  </si>
  <si>
    <t>已还利息</t>
  </si>
  <si>
    <t>逾期4期</t>
  </si>
  <si>
    <t>全部法定利息</t>
  </si>
  <si>
    <t>j28 j29 负数不算</t>
  </si>
  <si>
    <t>最大减免金额</t>
  </si>
  <si>
    <t>最小还款金额</t>
  </si>
  <si>
    <t>逾期利息=剩余本金*24%/12*逾期期数</t>
  </si>
  <si>
    <t>绿色为手工填写</t>
  </si>
  <si>
    <r>
      <rPr>
        <b/>
        <sz val="11"/>
        <color theme="1"/>
        <rFont val="宋体"/>
        <charset val="134"/>
        <scheme val="minor"/>
      </rPr>
      <t>逾期利息=剩余本金*17</t>
    </r>
    <r>
      <rPr>
        <b/>
        <sz val="11"/>
        <color theme="1"/>
        <rFont val="宋体"/>
        <charset val="134"/>
        <scheme val="minor"/>
      </rPr>
      <t>%/12*逾期期数</t>
    </r>
  </si>
  <si>
    <t>剩余本金</t>
  </si>
  <si>
    <t>利率</t>
  </si>
  <si>
    <t>12个月</t>
  </si>
  <si>
    <t>逾期期数</t>
  </si>
  <si>
    <t>实际到账</t>
  </si>
  <si>
    <t>分期总数</t>
  </si>
  <si>
    <t>每期金额</t>
  </si>
  <si>
    <t>2020.8.19及之前期数</t>
  </si>
  <si>
    <t>2020.8.20及之后期数</t>
  </si>
  <si>
    <t>已还期数</t>
  </si>
  <si>
    <t>未还期数</t>
  </si>
  <si>
    <t>逾期</t>
  </si>
  <si>
    <t>应付利息</t>
  </si>
  <si>
    <t>结果</t>
  </si>
  <si>
    <t>减免最大值</t>
  </si>
  <si>
    <t>减免最小值</t>
  </si>
  <si>
    <r>
      <rPr>
        <sz val="11"/>
        <color theme="1"/>
        <rFont val="宋体"/>
        <charset val="134"/>
        <scheme val="minor"/>
      </rPr>
      <t xml:space="preserve">计算逻辑：
</t>
    </r>
    <r>
      <rPr>
        <b/>
        <sz val="11"/>
        <color theme="1"/>
        <rFont val="宋体"/>
        <charset val="134"/>
        <scheme val="minor"/>
      </rPr>
      <t>最大减免</t>
    </r>
    <r>
      <rPr>
        <sz val="11"/>
        <color theme="1"/>
        <rFont val="宋体"/>
        <charset val="134"/>
        <scheme val="minor"/>
      </rPr>
      <t xml:space="preserve">=合同金额-到账金额-应付利息
合同金额=每期还款*总期数
应付利息=到账金额*24%*（合同签订日期至2020年8月20日的期数）+到账金额*17*（2020年8月20日至客户最后一次还款那个月的期数）
</t>
    </r>
    <r>
      <rPr>
        <b/>
        <sz val="11"/>
        <color theme="1"/>
        <rFont val="宋体"/>
        <charset val="134"/>
        <scheme val="minor"/>
      </rPr>
      <t>最小减免</t>
    </r>
    <r>
      <rPr>
        <sz val="11"/>
        <color theme="1"/>
        <rFont val="宋体"/>
        <charset val="134"/>
        <scheme val="minor"/>
      </rPr>
      <t>=合同金额-到账金额-应付利息
应付利息=到账金额*24%*（合同签订日期至2020年8月20日的期数）+到账金额*17*（36-（合同签订日期至2020年8月20日的期数））</t>
    </r>
  </si>
  <si>
    <r>
      <rPr>
        <b/>
        <sz val="11"/>
        <color theme="1"/>
        <rFont val="宋体"/>
        <charset val="134"/>
        <scheme val="minor"/>
      </rPr>
      <t>最大减免</t>
    </r>
    <r>
      <rPr>
        <sz val="11"/>
        <color theme="1"/>
        <rFont val="宋体"/>
        <charset val="134"/>
        <scheme val="minor"/>
      </rPr>
      <t>=合同金额-已还金额-核算后剩余本金
合同金额=每期还款*总期数
已还金额=每期还款*还款期数
剩余本金=实际到账金额-应付利息-冲销本金
应付利息=到账金额（剩余本金）*24%/12
剩余本金需要逐笔核减计算得出</t>
    </r>
  </si>
  <si>
    <r>
      <rPr>
        <b/>
        <sz val="11"/>
        <color theme="1"/>
        <rFont val="宋体"/>
        <charset val="134"/>
        <scheme val="minor"/>
      </rPr>
      <t>最小减免</t>
    </r>
    <r>
      <rPr>
        <sz val="11"/>
        <color theme="1"/>
        <rFont val="宋体"/>
        <charset val="134"/>
        <scheme val="minor"/>
      </rPr>
      <t>=合同金额-已还金额-核算后剩余本金-剩余法定利息
合同金额=每期还款*总期数
已还金额=每期还款*还款期数
剩余本金=实际到账金额-应付利息-冲销本金
应付利息=到账金额（剩余本金）*24%/12
剩余本金需要逐笔核减计算得出
剩余法定利息=剩余本金*17%/12*剩余期数
剩余本金需要逐笔核减计算得出</t>
    </r>
  </si>
  <si>
    <t>借款金额</t>
  </si>
  <si>
    <t>分期期数</t>
  </si>
  <si>
    <t>每期还款金额</t>
  </si>
  <si>
    <t>最后一笔还款时间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</si>
</sst>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  <numFmt numFmtId="177" formatCode="0.0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3" fillId="23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2" borderId="2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9" borderId="18" applyNumberFormat="0" applyAlignment="0" applyProtection="0">
      <alignment vertical="center"/>
    </xf>
    <xf numFmtId="0" fontId="22" fillId="9" borderId="21" applyNumberFormat="0" applyAlignment="0" applyProtection="0">
      <alignment vertical="center"/>
    </xf>
    <xf numFmtId="0" fontId="15" fillId="25" borderId="23" applyNumberFormat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7" fontId="0" fillId="0" borderId="10" xfId="0" applyNumberFormat="1" applyFont="1" applyBorder="1" applyAlignment="1">
      <alignment horizontal="center" vertical="center" wrapText="1"/>
    </xf>
    <xf numFmtId="177" fontId="0" fillId="0" borderId="10" xfId="0" applyNumberForma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0" fillId="4" borderId="1" xfId="0" applyNumberForma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177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77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281940</xdr:colOff>
      <xdr:row>24</xdr:row>
      <xdr:rowOff>152400</xdr:rowOff>
    </xdr:from>
    <xdr:to>
      <xdr:col>8</xdr:col>
      <xdr:colOff>647700</xdr:colOff>
      <xdr:row>54</xdr:row>
      <xdr:rowOff>60960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22980" y="5749290"/>
          <a:ext cx="3581400" cy="55778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59"/>
  <sheetViews>
    <sheetView tabSelected="1" topLeftCell="A13" workbookViewId="0">
      <selection activeCell="P37" sqref="P37"/>
    </sheetView>
  </sheetViews>
  <sheetFormatPr defaultColWidth="9" defaultRowHeight="14.4"/>
  <cols>
    <col min="1" max="1" width="9.12962962962963" style="29"/>
    <col min="2" max="2" width="11.5" style="8"/>
    <col min="3" max="3" width="14" style="29" customWidth="1"/>
    <col min="4" max="4" width="12.6296296296296" style="8"/>
    <col min="5" max="5" width="13.5" style="29" customWidth="1"/>
    <col min="6" max="6" width="12.6296296296296" style="8"/>
    <col min="7" max="7" width="9.37962962962963" style="29" customWidth="1"/>
    <col min="8" max="8" width="11.3796296296296" style="8" customWidth="1"/>
    <col min="9" max="9" width="14" style="29" customWidth="1"/>
    <col min="10" max="10" width="10.5" style="8" customWidth="1"/>
    <col min="11" max="11" width="13.6296296296296" style="29" customWidth="1"/>
    <col min="12" max="12" width="15" style="8" customWidth="1"/>
    <col min="13" max="13" width="4.37962962962963" style="8" customWidth="1"/>
    <col min="14" max="14" width="37.75" style="29" customWidth="1"/>
    <col min="15" max="15" width="31.1296296296296" style="29" customWidth="1"/>
    <col min="16" max="16384" width="9" style="29"/>
  </cols>
  <sheetData>
    <row r="1" spans="2:13">
      <c r="B1" s="37" t="s">
        <v>0</v>
      </c>
      <c r="C1" s="38"/>
      <c r="D1" s="38"/>
      <c r="E1" s="38"/>
      <c r="F1" s="38"/>
      <c r="H1" s="37" t="s">
        <v>1</v>
      </c>
      <c r="I1" s="38"/>
      <c r="J1" s="38"/>
      <c r="K1" s="38"/>
      <c r="L1" s="38"/>
      <c r="M1" s="52"/>
    </row>
    <row r="2" ht="72" spans="1:13">
      <c r="A2" s="39" t="s">
        <v>2</v>
      </c>
      <c r="B2" s="40" t="s">
        <v>3</v>
      </c>
      <c r="C2" s="41" t="s">
        <v>4</v>
      </c>
      <c r="D2" s="40" t="s">
        <v>5</v>
      </c>
      <c r="E2" s="41" t="s">
        <v>6</v>
      </c>
      <c r="F2" s="42" t="s">
        <v>7</v>
      </c>
      <c r="H2" s="40" t="s">
        <v>3</v>
      </c>
      <c r="I2" s="41" t="s">
        <v>8</v>
      </c>
      <c r="J2" s="40" t="s">
        <v>9</v>
      </c>
      <c r="K2" s="41" t="s">
        <v>6</v>
      </c>
      <c r="L2" s="42" t="s">
        <v>7</v>
      </c>
      <c r="M2" s="29"/>
    </row>
    <row r="3" ht="28.8" spans="2:17">
      <c r="B3" s="40" t="s">
        <v>10</v>
      </c>
      <c r="C3" s="41" t="s">
        <v>11</v>
      </c>
      <c r="D3" s="40" t="s">
        <v>12</v>
      </c>
      <c r="E3" s="41" t="s">
        <v>13</v>
      </c>
      <c r="F3" s="40" t="s">
        <v>14</v>
      </c>
      <c r="H3" s="40" t="s">
        <v>10</v>
      </c>
      <c r="I3" s="41" t="s">
        <v>11</v>
      </c>
      <c r="J3" s="40" t="s">
        <v>12</v>
      </c>
      <c r="K3" s="41" t="s">
        <v>13</v>
      </c>
      <c r="L3" s="40" t="s">
        <v>14</v>
      </c>
      <c r="M3" s="29"/>
      <c r="N3" s="41" t="s">
        <v>15</v>
      </c>
      <c r="O3" s="41" t="s">
        <v>16</v>
      </c>
      <c r="P3" s="53"/>
      <c r="Q3" s="53"/>
    </row>
    <row r="4" ht="28.8" spans="2:15">
      <c r="B4" s="43">
        <v>180000</v>
      </c>
      <c r="C4" s="1">
        <v>1</v>
      </c>
      <c r="D4" s="44">
        <f>B4*24%/12</f>
        <v>3600</v>
      </c>
      <c r="E4" s="45">
        <v>8233.72</v>
      </c>
      <c r="F4" s="44">
        <f>E4-D4</f>
        <v>4633.72</v>
      </c>
      <c r="G4" s="29">
        <v>9.12</v>
      </c>
      <c r="H4" s="43">
        <v>160901.62</v>
      </c>
      <c r="I4" s="1">
        <v>5</v>
      </c>
      <c r="J4" s="44">
        <f>H4*17%/12</f>
        <v>2279.43961666667</v>
      </c>
      <c r="K4" s="45">
        <f>E4</f>
        <v>8233.72</v>
      </c>
      <c r="L4" s="44">
        <f>K4-J4</f>
        <v>5954.28038333333</v>
      </c>
      <c r="M4" s="29"/>
      <c r="N4" s="1" t="s">
        <v>17</v>
      </c>
      <c r="O4" s="1"/>
    </row>
    <row r="5" spans="2:15">
      <c r="B5" s="44">
        <f>B4-F4</f>
        <v>175366.28</v>
      </c>
      <c r="C5" s="1">
        <v>2</v>
      </c>
      <c r="D5" s="44">
        <f t="shared" ref="D5:D39" si="0">B5*24%/12</f>
        <v>3507.3256</v>
      </c>
      <c r="E5" s="46">
        <f>$E$4</f>
        <v>8233.72</v>
      </c>
      <c r="F5" s="44">
        <f t="shared" ref="F5:F23" si="1">E5-D5</f>
        <v>4726.3944</v>
      </c>
      <c r="G5" s="29">
        <v>10.12</v>
      </c>
      <c r="H5" s="44">
        <f>H4-L4</f>
        <v>154947.339616667</v>
      </c>
      <c r="I5" s="1">
        <v>6</v>
      </c>
      <c r="J5" s="44">
        <f t="shared" ref="J5:J39" si="2">H5*17%/12</f>
        <v>2195.08731123611</v>
      </c>
      <c r="K5" s="46">
        <f>$E$4</f>
        <v>8233.72</v>
      </c>
      <c r="L5" s="44">
        <f t="shared" ref="L5:L29" si="3">K5-J5</f>
        <v>6038.63268876389</v>
      </c>
      <c r="M5" s="29"/>
      <c r="N5" s="47" t="s">
        <v>18</v>
      </c>
      <c r="O5" s="47" t="s">
        <v>19</v>
      </c>
    </row>
    <row r="6" spans="1:15">
      <c r="A6" s="29">
        <v>7.12</v>
      </c>
      <c r="B6" s="44">
        <f t="shared" ref="B6:B14" si="4">B5-F5</f>
        <v>170639.8856</v>
      </c>
      <c r="C6" s="1">
        <v>3</v>
      </c>
      <c r="D6" s="44">
        <f t="shared" si="0"/>
        <v>3412.797712</v>
      </c>
      <c r="E6" s="46">
        <f t="shared" ref="E6:E15" si="5">$E$4</f>
        <v>8233.72</v>
      </c>
      <c r="F6" s="44">
        <f t="shared" si="1"/>
        <v>4820.922288</v>
      </c>
      <c r="G6" s="29">
        <v>11.12</v>
      </c>
      <c r="H6" s="44">
        <f t="shared" ref="H6:H29" si="6">H5-L5</f>
        <v>148908.706927903</v>
      </c>
      <c r="I6" s="1">
        <v>7</v>
      </c>
      <c r="J6" s="44">
        <f t="shared" si="2"/>
        <v>2109.54001481196</v>
      </c>
      <c r="K6" s="46">
        <f t="shared" ref="K6:K29" si="7">$E$4</f>
        <v>8233.72</v>
      </c>
      <c r="L6" s="44">
        <f t="shared" si="3"/>
        <v>6124.17998518804</v>
      </c>
      <c r="M6" s="29"/>
      <c r="N6" s="1" t="s">
        <v>20</v>
      </c>
      <c r="O6" s="1"/>
    </row>
    <row r="7" spans="1:15">
      <c r="A7" s="29">
        <v>8.12</v>
      </c>
      <c r="B7" s="44">
        <f t="shared" si="4"/>
        <v>165818.963312</v>
      </c>
      <c r="C7" s="1">
        <v>4</v>
      </c>
      <c r="D7" s="44">
        <f t="shared" si="0"/>
        <v>3316.37926624</v>
      </c>
      <c r="E7" s="46">
        <f t="shared" si="5"/>
        <v>8233.72</v>
      </c>
      <c r="F7" s="44">
        <f t="shared" si="1"/>
        <v>4917.34073376</v>
      </c>
      <c r="G7" s="29">
        <v>12.12</v>
      </c>
      <c r="H7" s="44">
        <f t="shared" si="6"/>
        <v>142784.526942715</v>
      </c>
      <c r="I7" s="1">
        <v>8</v>
      </c>
      <c r="J7" s="44">
        <f t="shared" si="2"/>
        <v>2022.78079835513</v>
      </c>
      <c r="K7" s="46">
        <f t="shared" si="7"/>
        <v>8233.72</v>
      </c>
      <c r="L7" s="44">
        <f t="shared" si="3"/>
        <v>6210.93920164487</v>
      </c>
      <c r="M7" s="29"/>
      <c r="N7" s="1" t="s">
        <v>21</v>
      </c>
      <c r="O7" s="1"/>
    </row>
    <row r="8" ht="24" customHeight="1" spans="2:15">
      <c r="B8" s="44">
        <f t="shared" si="4"/>
        <v>160901.62257824</v>
      </c>
      <c r="C8" s="1">
        <v>5</v>
      </c>
      <c r="D8" s="44">
        <f t="shared" si="0"/>
        <v>3218.0324515648</v>
      </c>
      <c r="E8" s="46">
        <f t="shared" si="5"/>
        <v>8233.72</v>
      </c>
      <c r="F8" s="44">
        <f t="shared" si="1"/>
        <v>5015.6875484352</v>
      </c>
      <c r="G8" s="29">
        <v>1.12</v>
      </c>
      <c r="H8" s="44">
        <f t="shared" si="6"/>
        <v>136573.58774107</v>
      </c>
      <c r="I8" s="1">
        <v>9</v>
      </c>
      <c r="J8" s="44">
        <f t="shared" si="2"/>
        <v>1934.79249299849</v>
      </c>
      <c r="K8" s="46">
        <f t="shared" si="7"/>
        <v>8233.72</v>
      </c>
      <c r="L8" s="44">
        <f t="shared" si="3"/>
        <v>6298.92750700151</v>
      </c>
      <c r="M8" s="29"/>
      <c r="N8" s="1" t="s">
        <v>22</v>
      </c>
      <c r="O8" s="54"/>
    </row>
    <row r="9" spans="2:15">
      <c r="B9" s="44">
        <f t="shared" si="4"/>
        <v>155885.935029805</v>
      </c>
      <c r="C9" s="1">
        <v>6</v>
      </c>
      <c r="D9" s="44">
        <f t="shared" si="0"/>
        <v>3117.7187005961</v>
      </c>
      <c r="E9" s="46">
        <f t="shared" si="5"/>
        <v>8233.72</v>
      </c>
      <c r="F9" s="44">
        <f t="shared" si="1"/>
        <v>5116.0012994039</v>
      </c>
      <c r="H9" s="44">
        <f t="shared" si="6"/>
        <v>130274.660234068</v>
      </c>
      <c r="I9" s="1">
        <v>10</v>
      </c>
      <c r="J9" s="44">
        <f t="shared" si="2"/>
        <v>1845.5576866493</v>
      </c>
      <c r="K9" s="46">
        <f t="shared" si="7"/>
        <v>8233.72</v>
      </c>
      <c r="L9" s="44">
        <f t="shared" si="3"/>
        <v>6388.1623133507</v>
      </c>
      <c r="M9" s="29"/>
      <c r="N9" s="47" t="s">
        <v>23</v>
      </c>
      <c r="O9" s="54" t="s">
        <v>24</v>
      </c>
    </row>
    <row r="10" spans="2:15">
      <c r="B10" s="44">
        <f t="shared" si="4"/>
        <v>150769.933730401</v>
      </c>
      <c r="C10" s="1">
        <v>7</v>
      </c>
      <c r="D10" s="44">
        <f t="shared" si="0"/>
        <v>3015.39867460802</v>
      </c>
      <c r="E10" s="46">
        <f t="shared" si="5"/>
        <v>8233.72</v>
      </c>
      <c r="F10" s="44">
        <f t="shared" si="1"/>
        <v>5218.32132539198</v>
      </c>
      <c r="H10" s="44">
        <f t="shared" si="6"/>
        <v>123886.497920718</v>
      </c>
      <c r="I10" s="1">
        <v>11</v>
      </c>
      <c r="J10" s="44">
        <f t="shared" si="2"/>
        <v>1755.0587205435</v>
      </c>
      <c r="K10" s="46">
        <f t="shared" si="7"/>
        <v>8233.72</v>
      </c>
      <c r="L10" s="44">
        <f t="shared" si="3"/>
        <v>6478.6612794565</v>
      </c>
      <c r="M10" s="29"/>
      <c r="N10" s="47" t="s">
        <v>25</v>
      </c>
      <c r="O10" s="1"/>
    </row>
    <row r="11" spans="2:15">
      <c r="B11" s="44">
        <f t="shared" si="4"/>
        <v>145551.612405009</v>
      </c>
      <c r="C11" s="1">
        <v>8</v>
      </c>
      <c r="D11" s="44">
        <f t="shared" si="0"/>
        <v>2911.03224810018</v>
      </c>
      <c r="E11" s="46">
        <f t="shared" si="5"/>
        <v>8233.72</v>
      </c>
      <c r="F11" s="44">
        <f t="shared" si="1"/>
        <v>5322.68775189982</v>
      </c>
      <c r="H11" s="44">
        <f t="shared" si="6"/>
        <v>117407.836641261</v>
      </c>
      <c r="I11" s="1">
        <v>12</v>
      </c>
      <c r="J11" s="44">
        <f t="shared" si="2"/>
        <v>1663.2776857512</v>
      </c>
      <c r="K11" s="46">
        <f t="shared" si="7"/>
        <v>8233.72</v>
      </c>
      <c r="L11" s="44">
        <f t="shared" si="3"/>
        <v>6570.4423142488</v>
      </c>
      <c r="M11" s="29"/>
      <c r="N11" s="1" t="s">
        <v>26</v>
      </c>
      <c r="O11" s="1" t="s">
        <v>27</v>
      </c>
    </row>
    <row r="12" spans="2:13">
      <c r="B12" s="44">
        <f t="shared" si="4"/>
        <v>140228.924653109</v>
      </c>
      <c r="C12" s="1">
        <v>9</v>
      </c>
      <c r="D12" s="44">
        <f t="shared" si="0"/>
        <v>2804.57849306218</v>
      </c>
      <c r="E12" s="46">
        <f t="shared" si="5"/>
        <v>8233.72</v>
      </c>
      <c r="F12" s="44">
        <f t="shared" si="1"/>
        <v>5429.14150693782</v>
      </c>
      <c r="H12" s="44">
        <f t="shared" si="6"/>
        <v>110837.394327012</v>
      </c>
      <c r="I12" s="1">
        <v>13</v>
      </c>
      <c r="J12" s="44">
        <f t="shared" si="2"/>
        <v>1570.19641963268</v>
      </c>
      <c r="K12" s="46">
        <f t="shared" si="7"/>
        <v>8233.72</v>
      </c>
      <c r="L12" s="44">
        <f t="shared" si="3"/>
        <v>6663.52358036732</v>
      </c>
      <c r="M12" s="29"/>
    </row>
    <row r="13" ht="13.5" customHeight="1" spans="2:15">
      <c r="B13" s="44">
        <f t="shared" si="4"/>
        <v>134799.783146171</v>
      </c>
      <c r="C13" s="47">
        <v>10</v>
      </c>
      <c r="D13" s="44">
        <f t="shared" si="0"/>
        <v>2695.99566292343</v>
      </c>
      <c r="E13" s="46">
        <f t="shared" si="5"/>
        <v>8233.72</v>
      </c>
      <c r="F13" s="44">
        <f t="shared" si="1"/>
        <v>5537.72433707657</v>
      </c>
      <c r="H13" s="44">
        <f t="shared" si="6"/>
        <v>104173.870746645</v>
      </c>
      <c r="I13" s="1">
        <v>14</v>
      </c>
      <c r="J13" s="44">
        <f t="shared" si="2"/>
        <v>1475.79650224414</v>
      </c>
      <c r="K13" s="46">
        <f t="shared" si="7"/>
        <v>8233.72</v>
      </c>
      <c r="L13" s="44">
        <f t="shared" si="3"/>
        <v>6757.92349775586</v>
      </c>
      <c r="M13" s="29"/>
      <c r="N13" s="55" t="s">
        <v>28</v>
      </c>
      <c r="O13" s="56"/>
    </row>
    <row r="14" spans="1:15">
      <c r="A14" s="48"/>
      <c r="B14" s="49">
        <f t="shared" si="4"/>
        <v>129262.058809095</v>
      </c>
      <c r="C14" s="50">
        <v>11</v>
      </c>
      <c r="D14" s="49">
        <f t="shared" si="0"/>
        <v>2585.24117618189</v>
      </c>
      <c r="E14" s="50">
        <f t="shared" si="5"/>
        <v>8233.72</v>
      </c>
      <c r="F14" s="49">
        <f t="shared" si="1"/>
        <v>5648.47882381811</v>
      </c>
      <c r="H14" s="44">
        <f t="shared" si="6"/>
        <v>97415.9472488891</v>
      </c>
      <c r="I14" s="1">
        <v>15</v>
      </c>
      <c r="J14" s="44">
        <f t="shared" si="2"/>
        <v>1380.0592526926</v>
      </c>
      <c r="K14" s="46">
        <f t="shared" si="7"/>
        <v>8233.72</v>
      </c>
      <c r="L14" s="44">
        <f t="shared" si="3"/>
        <v>6853.6607473074</v>
      </c>
      <c r="M14" s="29"/>
      <c r="N14" s="57"/>
      <c r="O14" s="58"/>
    </row>
    <row r="15" spans="1:15">
      <c r="A15" s="48"/>
      <c r="B15" s="49">
        <f t="shared" ref="B15:B26" si="8">B14-F14</f>
        <v>123613.579985277</v>
      </c>
      <c r="C15" s="1">
        <v>12</v>
      </c>
      <c r="D15" s="44">
        <f t="shared" si="0"/>
        <v>2472.27159970553</v>
      </c>
      <c r="E15" s="46">
        <f t="shared" si="5"/>
        <v>8233.72</v>
      </c>
      <c r="F15" s="44">
        <f t="shared" si="1"/>
        <v>5761.44840029447</v>
      </c>
      <c r="H15" s="44">
        <f t="shared" si="6"/>
        <v>90562.2865015818</v>
      </c>
      <c r="I15" s="1">
        <v>16</v>
      </c>
      <c r="J15" s="44">
        <f t="shared" si="2"/>
        <v>1282.96572543907</v>
      </c>
      <c r="K15" s="46">
        <f t="shared" si="7"/>
        <v>8233.72</v>
      </c>
      <c r="L15" s="44">
        <f t="shared" si="3"/>
        <v>6950.75427456092</v>
      </c>
      <c r="M15" s="29"/>
      <c r="N15" s="57"/>
      <c r="O15" s="58"/>
    </row>
    <row r="16" spans="1:15">
      <c r="A16" s="48"/>
      <c r="B16" s="49">
        <f t="shared" si="8"/>
        <v>117852.131584982</v>
      </c>
      <c r="C16" s="1">
        <v>13</v>
      </c>
      <c r="D16" s="44">
        <f t="shared" si="0"/>
        <v>2357.04263169964</v>
      </c>
      <c r="E16" s="46">
        <f t="shared" ref="E16:E25" si="9">$E$4</f>
        <v>8233.72</v>
      </c>
      <c r="F16" s="44">
        <f t="shared" si="1"/>
        <v>5876.67736830036</v>
      </c>
      <c r="H16" s="44">
        <f t="shared" si="6"/>
        <v>83611.5322270208</v>
      </c>
      <c r="I16" s="1">
        <v>17</v>
      </c>
      <c r="J16" s="44">
        <f t="shared" si="2"/>
        <v>1184.49670654946</v>
      </c>
      <c r="K16" s="46">
        <f t="shared" si="7"/>
        <v>8233.72</v>
      </c>
      <c r="L16" s="44">
        <f t="shared" si="3"/>
        <v>7049.22329345054</v>
      </c>
      <c r="M16" s="29"/>
      <c r="N16" s="57"/>
      <c r="O16" s="58"/>
    </row>
    <row r="17" spans="1:15">
      <c r="A17" s="48"/>
      <c r="B17" s="49">
        <f t="shared" si="8"/>
        <v>111975.454216682</v>
      </c>
      <c r="C17" s="1">
        <v>14</v>
      </c>
      <c r="D17" s="44">
        <f t="shared" si="0"/>
        <v>2239.50908433364</v>
      </c>
      <c r="E17" s="46">
        <f t="shared" si="9"/>
        <v>8233.72</v>
      </c>
      <c r="F17" s="44">
        <f t="shared" si="1"/>
        <v>5994.21091566636</v>
      </c>
      <c r="H17" s="44">
        <f t="shared" si="6"/>
        <v>76562.3089335703</v>
      </c>
      <c r="I17" s="1">
        <v>18</v>
      </c>
      <c r="J17" s="44">
        <f t="shared" si="2"/>
        <v>1084.63270989225</v>
      </c>
      <c r="K17" s="46">
        <f t="shared" si="7"/>
        <v>8233.72</v>
      </c>
      <c r="L17" s="44">
        <f t="shared" si="3"/>
        <v>7149.08729010775</v>
      </c>
      <c r="M17" s="29"/>
      <c r="N17" s="57"/>
      <c r="O17" s="58"/>
    </row>
    <row r="18" spans="1:15">
      <c r="A18" s="48"/>
      <c r="B18" s="49">
        <f t="shared" si="8"/>
        <v>105981.243301015</v>
      </c>
      <c r="C18" s="1">
        <v>15</v>
      </c>
      <c r="D18" s="44">
        <f t="shared" si="0"/>
        <v>2119.62486602031</v>
      </c>
      <c r="E18" s="46">
        <f t="shared" si="9"/>
        <v>8233.72</v>
      </c>
      <c r="F18" s="44">
        <f t="shared" si="1"/>
        <v>6114.09513397969</v>
      </c>
      <c r="H18" s="44">
        <f t="shared" si="6"/>
        <v>69413.2216434625</v>
      </c>
      <c r="I18" s="1">
        <v>19</v>
      </c>
      <c r="J18" s="44">
        <f t="shared" si="2"/>
        <v>983.353973282386</v>
      </c>
      <c r="K18" s="46">
        <f t="shared" si="7"/>
        <v>8233.72</v>
      </c>
      <c r="L18" s="44">
        <f t="shared" si="3"/>
        <v>7250.36602671761</v>
      </c>
      <c r="M18" s="29"/>
      <c r="N18" s="57"/>
      <c r="O18" s="58"/>
    </row>
    <row r="19" spans="1:15">
      <c r="A19" s="48"/>
      <c r="B19" s="49">
        <f t="shared" si="8"/>
        <v>99867.1481670357</v>
      </c>
      <c r="C19" s="1">
        <v>16</v>
      </c>
      <c r="D19" s="44">
        <f t="shared" si="0"/>
        <v>1997.34296334071</v>
      </c>
      <c r="E19" s="46">
        <f t="shared" si="9"/>
        <v>8233.72</v>
      </c>
      <c r="F19" s="44">
        <f t="shared" si="1"/>
        <v>6236.37703665929</v>
      </c>
      <c r="H19" s="44">
        <f t="shared" si="6"/>
        <v>62162.8556167449</v>
      </c>
      <c r="I19" s="1">
        <v>20</v>
      </c>
      <c r="J19" s="44">
        <f t="shared" si="2"/>
        <v>880.640454570553</v>
      </c>
      <c r="K19" s="46">
        <f t="shared" si="7"/>
        <v>8233.72</v>
      </c>
      <c r="L19" s="44">
        <f t="shared" si="3"/>
        <v>7353.07954542945</v>
      </c>
      <c r="M19" s="29"/>
      <c r="N19" s="57"/>
      <c r="O19" s="58"/>
    </row>
    <row r="20" spans="1:15">
      <c r="A20" s="48"/>
      <c r="B20" s="49">
        <f t="shared" si="8"/>
        <v>93630.7711303764</v>
      </c>
      <c r="C20" s="1">
        <v>17</v>
      </c>
      <c r="D20" s="44">
        <f t="shared" si="0"/>
        <v>1872.61542260753</v>
      </c>
      <c r="E20" s="46">
        <f t="shared" si="9"/>
        <v>8233.72</v>
      </c>
      <c r="F20" s="44">
        <f t="shared" si="1"/>
        <v>6361.10457739247</v>
      </c>
      <c r="H20" s="44">
        <f t="shared" si="6"/>
        <v>54809.7760713155</v>
      </c>
      <c r="I20" s="1">
        <v>21</v>
      </c>
      <c r="J20" s="44">
        <f t="shared" si="2"/>
        <v>776.471827676969</v>
      </c>
      <c r="K20" s="46">
        <f t="shared" si="7"/>
        <v>8233.72</v>
      </c>
      <c r="L20" s="44">
        <f t="shared" si="3"/>
        <v>7457.24817232303</v>
      </c>
      <c r="M20" s="29"/>
      <c r="N20" s="59"/>
      <c r="O20" s="60"/>
    </row>
    <row r="21" spans="1:13">
      <c r="A21" s="48"/>
      <c r="B21" s="49">
        <f t="shared" si="8"/>
        <v>87269.666552984</v>
      </c>
      <c r="C21" s="1">
        <v>18</v>
      </c>
      <c r="D21" s="44">
        <f t="shared" si="0"/>
        <v>1745.39333105968</v>
      </c>
      <c r="E21" s="46">
        <f t="shared" si="9"/>
        <v>8233.72</v>
      </c>
      <c r="F21" s="44">
        <f t="shared" si="1"/>
        <v>6488.32666894032</v>
      </c>
      <c r="H21" s="44">
        <f t="shared" si="6"/>
        <v>47352.5278989924</v>
      </c>
      <c r="I21" s="1">
        <v>22</v>
      </c>
      <c r="J21" s="44">
        <f t="shared" si="2"/>
        <v>670.82747856906</v>
      </c>
      <c r="K21" s="46">
        <f t="shared" si="7"/>
        <v>8233.72</v>
      </c>
      <c r="L21" s="44">
        <f t="shared" si="3"/>
        <v>7562.89252143094</v>
      </c>
      <c r="M21" s="52"/>
    </row>
    <row r="22" spans="1:13">
      <c r="A22" s="48"/>
      <c r="B22" s="49">
        <f t="shared" si="8"/>
        <v>80781.3398840436</v>
      </c>
      <c r="C22" s="1">
        <v>19</v>
      </c>
      <c r="D22" s="44">
        <f t="shared" si="0"/>
        <v>1615.62679768087</v>
      </c>
      <c r="E22" s="46">
        <f t="shared" si="9"/>
        <v>8233.72</v>
      </c>
      <c r="F22" s="44">
        <f t="shared" si="1"/>
        <v>6618.09320231913</v>
      </c>
      <c r="H22" s="44">
        <f t="shared" si="6"/>
        <v>39789.6353775615</v>
      </c>
      <c r="I22" s="1">
        <v>23</v>
      </c>
      <c r="J22" s="44">
        <f t="shared" si="2"/>
        <v>563.686501182121</v>
      </c>
      <c r="K22" s="46">
        <f t="shared" si="7"/>
        <v>8233.72</v>
      </c>
      <c r="L22" s="44">
        <f t="shared" si="3"/>
        <v>7670.03349881788</v>
      </c>
      <c r="M22" s="52"/>
    </row>
    <row r="23" spans="2:13">
      <c r="B23" s="49">
        <f t="shared" si="8"/>
        <v>74163.2466817245</v>
      </c>
      <c r="C23" s="1">
        <v>20</v>
      </c>
      <c r="D23" s="44">
        <f t="shared" si="0"/>
        <v>1483.26493363449</v>
      </c>
      <c r="E23" s="46">
        <f t="shared" si="9"/>
        <v>8233.72</v>
      </c>
      <c r="F23" s="44">
        <f t="shared" si="1"/>
        <v>6750.45506636551</v>
      </c>
      <c r="H23" s="44">
        <f t="shared" si="6"/>
        <v>32119.6018787436</v>
      </c>
      <c r="I23" s="1">
        <v>24</v>
      </c>
      <c r="J23" s="44">
        <f t="shared" si="2"/>
        <v>455.027693282201</v>
      </c>
      <c r="K23" s="46">
        <f t="shared" si="7"/>
        <v>8233.72</v>
      </c>
      <c r="L23" s="44">
        <f t="shared" si="3"/>
        <v>7778.6923067178</v>
      </c>
      <c r="M23" s="52"/>
    </row>
    <row r="24" spans="2:13">
      <c r="B24" s="49">
        <f t="shared" si="8"/>
        <v>67412.791615359</v>
      </c>
      <c r="C24" s="1">
        <v>21</v>
      </c>
      <c r="D24" s="44">
        <f t="shared" si="0"/>
        <v>1348.25583230718</v>
      </c>
      <c r="E24" s="46">
        <f t="shared" si="9"/>
        <v>8233.72</v>
      </c>
      <c r="F24" s="44">
        <f t="shared" ref="F24:F39" si="10">E24-D24</f>
        <v>6885.46416769282</v>
      </c>
      <c r="H24" s="44">
        <f t="shared" si="6"/>
        <v>24340.9095720258</v>
      </c>
      <c r="I24" s="1">
        <v>25</v>
      </c>
      <c r="J24" s="44">
        <f t="shared" si="2"/>
        <v>344.829552270366</v>
      </c>
      <c r="K24" s="46">
        <f t="shared" si="7"/>
        <v>8233.72</v>
      </c>
      <c r="L24" s="44">
        <f t="shared" si="3"/>
        <v>7888.89044772963</v>
      </c>
      <c r="M24" s="52"/>
    </row>
    <row r="25" spans="2:13">
      <c r="B25" s="49">
        <f t="shared" si="8"/>
        <v>60527.3274476662</v>
      </c>
      <c r="C25" s="1">
        <v>22</v>
      </c>
      <c r="D25" s="44">
        <f t="shared" si="0"/>
        <v>1210.54654895332</v>
      </c>
      <c r="E25" s="46">
        <f t="shared" si="9"/>
        <v>8233.72</v>
      </c>
      <c r="F25" s="44">
        <f t="shared" si="10"/>
        <v>7023.17345104668</v>
      </c>
      <c r="H25" s="44">
        <f t="shared" si="6"/>
        <v>16452.0191242962</v>
      </c>
      <c r="I25" s="1">
        <v>26</v>
      </c>
      <c r="J25" s="44">
        <f t="shared" si="2"/>
        <v>233.070270927529</v>
      </c>
      <c r="K25" s="46">
        <f t="shared" si="7"/>
        <v>8233.72</v>
      </c>
      <c r="L25" s="44">
        <f t="shared" si="3"/>
        <v>8000.64972907247</v>
      </c>
      <c r="M25" s="52"/>
    </row>
    <row r="26" spans="2:13">
      <c r="B26" s="49">
        <f t="shared" si="8"/>
        <v>53504.1539966195</v>
      </c>
      <c r="C26" s="1">
        <v>23</v>
      </c>
      <c r="D26" s="44">
        <f t="shared" si="0"/>
        <v>1070.08307993239</v>
      </c>
      <c r="E26" s="46">
        <f t="shared" ref="E26:E39" si="11">$E$4</f>
        <v>8233.72</v>
      </c>
      <c r="F26" s="44">
        <f t="shared" si="10"/>
        <v>7163.63692006761</v>
      </c>
      <c r="H26" s="44">
        <f t="shared" si="6"/>
        <v>8451.36939522371</v>
      </c>
      <c r="I26" s="1">
        <v>27</v>
      </c>
      <c r="J26" s="44">
        <f t="shared" si="2"/>
        <v>119.727733099003</v>
      </c>
      <c r="K26" s="46">
        <f t="shared" si="7"/>
        <v>8233.72</v>
      </c>
      <c r="L26" s="44">
        <f t="shared" si="3"/>
        <v>8113.992266901</v>
      </c>
      <c r="M26" s="52"/>
    </row>
    <row r="27" spans="2:13">
      <c r="B27" s="49">
        <f t="shared" ref="B27:B39" si="12">B26-F26</f>
        <v>46340.5170765519</v>
      </c>
      <c r="C27" s="1">
        <v>24</v>
      </c>
      <c r="D27" s="44">
        <f t="shared" si="0"/>
        <v>926.810341531038</v>
      </c>
      <c r="E27" s="46">
        <f t="shared" si="11"/>
        <v>8233.72</v>
      </c>
      <c r="F27" s="44">
        <f t="shared" si="10"/>
        <v>7306.90965846896</v>
      </c>
      <c r="H27" s="44">
        <f t="shared" si="6"/>
        <v>337.377128322712</v>
      </c>
      <c r="I27" s="1">
        <v>28</v>
      </c>
      <c r="J27" s="44">
        <f t="shared" si="2"/>
        <v>4.77950931790508</v>
      </c>
      <c r="K27" s="46">
        <f t="shared" si="7"/>
        <v>8233.72</v>
      </c>
      <c r="L27" s="44">
        <f t="shared" si="3"/>
        <v>8228.94049068209</v>
      </c>
      <c r="M27" s="52"/>
    </row>
    <row r="28" spans="2:13">
      <c r="B28" s="49">
        <f t="shared" si="12"/>
        <v>39033.6074180829</v>
      </c>
      <c r="C28" s="1">
        <v>25</v>
      </c>
      <c r="D28" s="44">
        <f t="shared" si="0"/>
        <v>780.672148361659</v>
      </c>
      <c r="E28" s="46">
        <f t="shared" si="11"/>
        <v>8233.72</v>
      </c>
      <c r="F28" s="44">
        <f t="shared" si="10"/>
        <v>7453.04785163834</v>
      </c>
      <c r="H28" s="44">
        <f t="shared" si="6"/>
        <v>-7891.56336235938</v>
      </c>
      <c r="I28" s="1">
        <v>29</v>
      </c>
      <c r="J28" s="44">
        <f t="shared" si="2"/>
        <v>-111.797147633425</v>
      </c>
      <c r="K28" s="46">
        <f t="shared" si="7"/>
        <v>8233.72</v>
      </c>
      <c r="L28" s="44">
        <f t="shared" si="3"/>
        <v>8345.51714763342</v>
      </c>
      <c r="M28" s="52"/>
    </row>
    <row r="29" spans="2:13">
      <c r="B29" s="49">
        <f t="shared" si="12"/>
        <v>31580.5595664446</v>
      </c>
      <c r="C29" s="1">
        <v>26</v>
      </c>
      <c r="D29" s="44">
        <f t="shared" si="0"/>
        <v>631.611191328892</v>
      </c>
      <c r="E29" s="46">
        <f t="shared" si="11"/>
        <v>8233.72</v>
      </c>
      <c r="F29" s="44">
        <f t="shared" si="10"/>
        <v>7602.10880867111</v>
      </c>
      <c r="H29" s="44">
        <f t="shared" si="6"/>
        <v>-16237.0805099928</v>
      </c>
      <c r="I29" s="1">
        <v>30</v>
      </c>
      <c r="J29" s="44">
        <f t="shared" si="2"/>
        <v>-230.025307224898</v>
      </c>
      <c r="K29" s="46">
        <f t="shared" si="7"/>
        <v>8233.72</v>
      </c>
      <c r="L29" s="44">
        <f t="shared" si="3"/>
        <v>8463.7453072249</v>
      </c>
      <c r="M29" s="52"/>
    </row>
    <row r="30" spans="2:13">
      <c r="B30" s="49">
        <f t="shared" si="12"/>
        <v>23978.4507577735</v>
      </c>
      <c r="C30" s="1">
        <v>27</v>
      </c>
      <c r="D30" s="44">
        <f t="shared" si="0"/>
        <v>479.56901515547</v>
      </c>
      <c r="E30" s="46">
        <f t="shared" si="11"/>
        <v>8233.72</v>
      </c>
      <c r="F30" s="44">
        <f t="shared" si="10"/>
        <v>7754.15098484453</v>
      </c>
      <c r="H30" s="44">
        <f t="shared" ref="H30:H35" si="13">H29-L29</f>
        <v>-24700.8258172177</v>
      </c>
      <c r="I30" s="1">
        <v>31</v>
      </c>
      <c r="J30" s="44">
        <f t="shared" si="2"/>
        <v>-349.928365743918</v>
      </c>
      <c r="K30" s="46">
        <f t="shared" ref="K30:K35" si="14">$E$4</f>
        <v>8233.72</v>
      </c>
      <c r="L30" s="44">
        <f t="shared" ref="L30:L35" si="15">K30-J30</f>
        <v>8583.64836574392</v>
      </c>
      <c r="M30" s="52"/>
    </row>
    <row r="31" spans="2:13">
      <c r="B31" s="49">
        <f t="shared" si="12"/>
        <v>16224.299772929</v>
      </c>
      <c r="C31" s="1">
        <v>28</v>
      </c>
      <c r="D31" s="44">
        <f t="shared" si="0"/>
        <v>324.485995458579</v>
      </c>
      <c r="E31" s="46">
        <f t="shared" si="11"/>
        <v>8233.72</v>
      </c>
      <c r="F31" s="44">
        <f t="shared" si="10"/>
        <v>7909.23400454142</v>
      </c>
      <c r="H31" s="44">
        <f t="shared" si="13"/>
        <v>-33284.4741829616</v>
      </c>
      <c r="I31" s="1">
        <v>32</v>
      </c>
      <c r="J31" s="44">
        <f t="shared" si="2"/>
        <v>-471.53005092529</v>
      </c>
      <c r="K31" s="46">
        <f t="shared" si="14"/>
        <v>8233.72</v>
      </c>
      <c r="L31" s="44">
        <f t="shared" si="15"/>
        <v>8705.25005092529</v>
      </c>
      <c r="M31" s="52"/>
    </row>
    <row r="32" spans="2:13">
      <c r="B32" s="49">
        <f t="shared" si="12"/>
        <v>8315.06576838754</v>
      </c>
      <c r="C32" s="1">
        <v>29</v>
      </c>
      <c r="D32" s="44">
        <f t="shared" si="0"/>
        <v>166.301315367751</v>
      </c>
      <c r="E32" s="46">
        <f t="shared" si="11"/>
        <v>8233.72</v>
      </c>
      <c r="F32" s="44">
        <f t="shared" si="10"/>
        <v>8067.41868463225</v>
      </c>
      <c r="H32" s="44">
        <f t="shared" si="13"/>
        <v>-41989.7242338869</v>
      </c>
      <c r="I32" s="1">
        <v>33</v>
      </c>
      <c r="J32" s="44">
        <f t="shared" si="2"/>
        <v>-594.854426646731</v>
      </c>
      <c r="K32" s="46">
        <f t="shared" si="14"/>
        <v>8233.72</v>
      </c>
      <c r="L32" s="44">
        <f t="shared" si="15"/>
        <v>8828.57442664673</v>
      </c>
      <c r="M32" s="52"/>
    </row>
    <row r="33" spans="2:13">
      <c r="B33" s="49">
        <f t="shared" si="12"/>
        <v>247.647083755293</v>
      </c>
      <c r="C33" s="1">
        <v>30</v>
      </c>
      <c r="D33" s="44">
        <f t="shared" si="0"/>
        <v>4.95294167510587</v>
      </c>
      <c r="E33" s="46">
        <f t="shared" si="11"/>
        <v>8233.72</v>
      </c>
      <c r="F33" s="44">
        <f t="shared" si="10"/>
        <v>8228.76705832489</v>
      </c>
      <c r="H33" s="44">
        <f t="shared" si="13"/>
        <v>-50818.2986605336</v>
      </c>
      <c r="I33" s="1">
        <v>34</v>
      </c>
      <c r="J33" s="44">
        <f t="shared" si="2"/>
        <v>-719.925897690893</v>
      </c>
      <c r="K33" s="46">
        <f t="shared" si="14"/>
        <v>8233.72</v>
      </c>
      <c r="L33" s="44">
        <f t="shared" si="15"/>
        <v>8953.64589769089</v>
      </c>
      <c r="M33" s="52"/>
    </row>
    <row r="34" spans="2:13">
      <c r="B34" s="49">
        <f t="shared" si="12"/>
        <v>-7981.1199745696</v>
      </c>
      <c r="C34" s="1">
        <v>31</v>
      </c>
      <c r="D34" s="44">
        <f t="shared" si="0"/>
        <v>-159.622399491392</v>
      </c>
      <c r="E34" s="46">
        <f t="shared" si="11"/>
        <v>8233.72</v>
      </c>
      <c r="F34" s="44">
        <f t="shared" si="10"/>
        <v>8393.34239949139</v>
      </c>
      <c r="H34" s="44">
        <f t="shared" si="13"/>
        <v>-59771.9445582245</v>
      </c>
      <c r="I34" s="1">
        <v>35</v>
      </c>
      <c r="J34" s="44">
        <f t="shared" si="2"/>
        <v>-846.769214574848</v>
      </c>
      <c r="K34" s="46">
        <f t="shared" si="14"/>
        <v>8233.72</v>
      </c>
      <c r="L34" s="44">
        <f t="shared" si="15"/>
        <v>9080.48921457485</v>
      </c>
      <c r="M34" s="52"/>
    </row>
    <row r="35" spans="2:13">
      <c r="B35" s="49">
        <f t="shared" si="12"/>
        <v>-16374.462374061</v>
      </c>
      <c r="C35" s="1">
        <v>32</v>
      </c>
      <c r="D35" s="44">
        <f t="shared" si="0"/>
        <v>-327.48924748122</v>
      </c>
      <c r="E35" s="46">
        <f t="shared" si="11"/>
        <v>8233.72</v>
      </c>
      <c r="F35" s="44">
        <f t="shared" si="10"/>
        <v>8561.20924748122</v>
      </c>
      <c r="H35" s="44">
        <f t="shared" si="13"/>
        <v>-68852.4337727994</v>
      </c>
      <c r="I35" s="1">
        <v>36</v>
      </c>
      <c r="J35" s="44">
        <f t="shared" si="2"/>
        <v>-975.409478447991</v>
      </c>
      <c r="K35" s="46">
        <f t="shared" si="14"/>
        <v>8233.72</v>
      </c>
      <c r="L35" s="44">
        <f t="shared" si="15"/>
        <v>9209.12947844799</v>
      </c>
      <c r="M35" s="52"/>
    </row>
    <row r="36" spans="2:13">
      <c r="B36" s="49">
        <f t="shared" si="12"/>
        <v>-24935.6716215422</v>
      </c>
      <c r="C36" s="1">
        <v>33</v>
      </c>
      <c r="D36" s="44">
        <f t="shared" si="0"/>
        <v>-498.713432430844</v>
      </c>
      <c r="E36" s="46">
        <f t="shared" si="11"/>
        <v>8233.72</v>
      </c>
      <c r="F36" s="44">
        <f t="shared" si="10"/>
        <v>8732.43343243084</v>
      </c>
      <c r="H36" s="44"/>
      <c r="I36" s="1"/>
      <c r="J36" s="44">
        <f t="shared" si="2"/>
        <v>0</v>
      </c>
      <c r="K36" s="46"/>
      <c r="L36" s="44"/>
      <c r="M36" s="52"/>
    </row>
    <row r="37" spans="2:13">
      <c r="B37" s="49">
        <f t="shared" si="12"/>
        <v>-33668.1050539731</v>
      </c>
      <c r="C37" s="1">
        <v>34</v>
      </c>
      <c r="D37" s="44">
        <f t="shared" si="0"/>
        <v>-673.362101079461</v>
      </c>
      <c r="E37" s="46">
        <f t="shared" si="11"/>
        <v>8233.72</v>
      </c>
      <c r="F37" s="44">
        <f t="shared" si="10"/>
        <v>8907.08210107946</v>
      </c>
      <c r="H37" s="44"/>
      <c r="I37" s="1"/>
      <c r="J37" s="44">
        <f t="shared" si="2"/>
        <v>0</v>
      </c>
      <c r="K37" s="46"/>
      <c r="L37" s="44"/>
      <c r="M37" s="52"/>
    </row>
    <row r="38" spans="2:13">
      <c r="B38" s="49">
        <f t="shared" si="12"/>
        <v>-42575.1871550525</v>
      </c>
      <c r="C38" s="1">
        <v>35</v>
      </c>
      <c r="D38" s="44">
        <f t="shared" si="0"/>
        <v>-851.50374310105</v>
      </c>
      <c r="E38" s="46">
        <f t="shared" si="11"/>
        <v>8233.72</v>
      </c>
      <c r="F38" s="44">
        <f t="shared" si="10"/>
        <v>9085.22374310105</v>
      </c>
      <c r="H38" s="44"/>
      <c r="I38" s="1"/>
      <c r="J38" s="44">
        <f t="shared" si="2"/>
        <v>0</v>
      </c>
      <c r="K38" s="46"/>
      <c r="L38" s="44"/>
      <c r="M38" s="52"/>
    </row>
    <row r="39" spans="2:13">
      <c r="B39" s="49">
        <f t="shared" si="12"/>
        <v>-51660.4108981536</v>
      </c>
      <c r="C39" s="1">
        <v>36</v>
      </c>
      <c r="D39" s="44">
        <f t="shared" si="0"/>
        <v>-1033.20821796307</v>
      </c>
      <c r="E39" s="46">
        <f t="shared" si="11"/>
        <v>8233.72</v>
      </c>
      <c r="F39" s="44">
        <f t="shared" si="10"/>
        <v>9266.92821796307</v>
      </c>
      <c r="H39" s="44"/>
      <c r="I39" s="1"/>
      <c r="J39" s="44">
        <f t="shared" si="2"/>
        <v>0</v>
      </c>
      <c r="K39" s="46"/>
      <c r="L39" s="44"/>
      <c r="M39" s="52"/>
    </row>
    <row r="41" spans="3:10">
      <c r="C41" s="1" t="s">
        <v>29</v>
      </c>
      <c r="D41" s="44">
        <f>SUM(D4:D7)+SUM(J4:J8)</f>
        <v>24378.1428123084</v>
      </c>
      <c r="E41" s="29">
        <f>SUM(E4:E14)</f>
        <v>90570.92</v>
      </c>
      <c r="F41" s="8">
        <f>D41+J41</f>
        <v>40931.4779558015</v>
      </c>
      <c r="I41" s="1" t="s">
        <v>30</v>
      </c>
      <c r="J41" s="44">
        <f>SUM(J9:J21)</f>
        <v>16553.3351434932</v>
      </c>
    </row>
    <row r="42" spans="5:10">
      <c r="E42" s="8"/>
      <c r="I42" s="29" t="s">
        <v>31</v>
      </c>
      <c r="J42" s="8">
        <f>SUM(J5:J8)</f>
        <v>8262.20061740168</v>
      </c>
    </row>
    <row r="43" spans="5:6">
      <c r="E43" s="8">
        <f>E4*36</f>
        <v>296413.92</v>
      </c>
      <c r="F43" s="8">
        <f>B4</f>
        <v>180000</v>
      </c>
    </row>
    <row r="44" spans="3:5">
      <c r="C44" s="8"/>
      <c r="E44" s="8"/>
    </row>
    <row r="45" spans="3:11">
      <c r="C45" s="8"/>
      <c r="E45" s="8"/>
      <c r="F45" s="8">
        <f>E43-D41-B4-J42</f>
        <v>83773.57657029</v>
      </c>
      <c r="H45" s="8" t="s">
        <v>32</v>
      </c>
      <c r="I45" s="8"/>
      <c r="K45" s="8"/>
    </row>
    <row r="46" spans="5:5">
      <c r="E46" s="8"/>
    </row>
    <row r="47" spans="3:11">
      <c r="C47" s="8"/>
      <c r="E47" s="8"/>
      <c r="F47" s="8">
        <f>E43-B4-D41-J41-J42</f>
        <v>67220.2414267968</v>
      </c>
      <c r="H47" s="8" t="s">
        <v>33</v>
      </c>
      <c r="I47" s="8"/>
      <c r="K47" s="8"/>
    </row>
    <row r="48" spans="5:5">
      <c r="E48" s="8"/>
    </row>
    <row r="49" spans="3:4">
      <c r="C49" s="29" t="s">
        <v>34</v>
      </c>
      <c r="D49" s="8">
        <f>E4*C39</f>
        <v>296413.92</v>
      </c>
    </row>
    <row r="50" spans="3:11">
      <c r="C50" s="29" t="s">
        <v>35</v>
      </c>
      <c r="D50" s="8">
        <f>B4</f>
        <v>180000</v>
      </c>
      <c r="G50" s="51" t="s">
        <v>36</v>
      </c>
      <c r="H50" s="51"/>
      <c r="I50" s="51"/>
      <c r="J50" s="51"/>
      <c r="K50" s="51"/>
    </row>
    <row r="51" spans="3:11">
      <c r="C51" s="29" t="s">
        <v>37</v>
      </c>
      <c r="D51" s="8">
        <f>SUM(D4:D7)+SUM(J4:J8)</f>
        <v>24378.1428123084</v>
      </c>
      <c r="G51" s="51"/>
      <c r="H51" s="51"/>
      <c r="I51" s="51"/>
      <c r="J51" s="51"/>
      <c r="K51" s="51"/>
    </row>
    <row r="52" spans="3:11">
      <c r="C52" s="29" t="s">
        <v>31</v>
      </c>
      <c r="D52" s="8">
        <v>0</v>
      </c>
      <c r="E52" s="29" t="s">
        <v>38</v>
      </c>
      <c r="G52" s="51"/>
      <c r="H52" s="51"/>
      <c r="I52" s="51"/>
      <c r="J52" s="51"/>
      <c r="K52" s="51"/>
    </row>
    <row r="53" ht="28.8" spans="3:11">
      <c r="C53" s="29" t="s">
        <v>39</v>
      </c>
      <c r="D53" s="8">
        <f>SUM(D4:D7)+SUM(J4:J27)</f>
        <v>42652.5992158806</v>
      </c>
      <c r="E53" s="29" t="s">
        <v>40</v>
      </c>
      <c r="G53" s="51"/>
      <c r="H53" s="51"/>
      <c r="I53" s="51"/>
      <c r="J53" s="51"/>
      <c r="K53" s="51"/>
    </row>
    <row r="54" spans="3:11">
      <c r="C54" s="29" t="s">
        <v>41</v>
      </c>
      <c r="D54" s="8">
        <f>D49-D50-D51-D52</f>
        <v>92035.7771876916</v>
      </c>
      <c r="G54" s="51"/>
      <c r="H54" s="51"/>
      <c r="I54" s="51"/>
      <c r="J54" s="51"/>
      <c r="K54" s="51"/>
    </row>
    <row r="55" spans="3:11">
      <c r="C55" s="29" t="s">
        <v>42</v>
      </c>
      <c r="D55" s="8">
        <f>D49-D50-D53</f>
        <v>73761.3207841194</v>
      </c>
      <c r="G55" s="51"/>
      <c r="H55" s="51"/>
      <c r="I55" s="51"/>
      <c r="J55" s="51"/>
      <c r="K55" s="51"/>
    </row>
    <row r="56" spans="7:11">
      <c r="G56" s="51"/>
      <c r="H56" s="51"/>
      <c r="I56" s="51"/>
      <c r="J56" s="51"/>
      <c r="K56" s="51"/>
    </row>
    <row r="57" spans="7:11">
      <c r="G57" s="51"/>
      <c r="H57" s="51"/>
      <c r="I57" s="51"/>
      <c r="J57" s="51"/>
      <c r="K57" s="51"/>
    </row>
    <row r="58" spans="7:11">
      <c r="G58" s="51"/>
      <c r="H58" s="51"/>
      <c r="I58" s="51"/>
      <c r="J58" s="51"/>
      <c r="K58" s="51"/>
    </row>
    <row r="59" spans="7:11">
      <c r="G59" s="51"/>
      <c r="H59" s="51"/>
      <c r="I59" s="51"/>
      <c r="J59" s="51"/>
      <c r="K59" s="51"/>
    </row>
  </sheetData>
  <mergeCells count="9">
    <mergeCell ref="B1:F1"/>
    <mergeCell ref="H1:L1"/>
    <mergeCell ref="N10:O10"/>
    <mergeCell ref="C45:E45"/>
    <mergeCell ref="H45:L45"/>
    <mergeCell ref="C47:E47"/>
    <mergeCell ref="H47:L47"/>
    <mergeCell ref="N13:O20"/>
    <mergeCell ref="G50:K5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1:G7"/>
  <sheetViews>
    <sheetView workbookViewId="0">
      <selection activeCell="D5" sqref="D5"/>
    </sheetView>
  </sheetViews>
  <sheetFormatPr defaultColWidth="11.5" defaultRowHeight="14.4" outlineLevelRow="6" outlineLevelCol="6"/>
  <cols>
    <col min="1" max="1" width="13.3796296296296" style="6" customWidth="1"/>
    <col min="2" max="2" width="11.5" style="6" customWidth="1"/>
    <col min="3" max="3" width="14.1296296296296" style="6" customWidth="1"/>
    <col min="4" max="4" width="11.5" style="6" customWidth="1"/>
    <col min="5" max="16384" width="11.5" style="6"/>
  </cols>
  <sheetData>
    <row r="1" ht="25.5" customHeight="1" spans="1:7">
      <c r="A1" s="30" t="s">
        <v>43</v>
      </c>
      <c r="B1" s="30"/>
      <c r="C1" s="30"/>
      <c r="D1" s="30"/>
      <c r="E1" s="30"/>
      <c r="F1" s="31" t="s">
        <v>44</v>
      </c>
      <c r="G1" s="31"/>
    </row>
    <row r="2" ht="21.95" customHeight="1" spans="1:7">
      <c r="A2" s="32" t="s">
        <v>45</v>
      </c>
      <c r="B2" s="32"/>
      <c r="C2" s="32"/>
      <c r="D2" s="32"/>
      <c r="E2" s="32"/>
      <c r="F2" s="31"/>
      <c r="G2" s="31"/>
    </row>
    <row r="3" spans="1:5">
      <c r="A3" s="33" t="s">
        <v>46</v>
      </c>
      <c r="B3" s="33" t="s">
        <v>47</v>
      </c>
      <c r="C3" s="33" t="s">
        <v>48</v>
      </c>
      <c r="D3" s="33" t="s">
        <v>49</v>
      </c>
      <c r="E3" s="33" t="s">
        <v>31</v>
      </c>
    </row>
    <row r="4" spans="1:5">
      <c r="A4" s="34">
        <v>176284.795675149</v>
      </c>
      <c r="B4" s="35">
        <v>0.24</v>
      </c>
      <c r="C4" s="3">
        <v>12</v>
      </c>
      <c r="D4" s="34">
        <v>0</v>
      </c>
      <c r="E4" s="14">
        <f>A4*B4/C4*D4</f>
        <v>0</v>
      </c>
    </row>
    <row r="5" spans="1:5">
      <c r="A5" s="34">
        <v>111503.15</v>
      </c>
      <c r="B5" s="35">
        <v>0.17</v>
      </c>
      <c r="C5" s="3">
        <v>12</v>
      </c>
      <c r="D5" s="34">
        <v>5</v>
      </c>
      <c r="E5" s="14">
        <f>A5*B5/C5*D5</f>
        <v>7898.13979166667</v>
      </c>
    </row>
    <row r="7" spans="2:2">
      <c r="B7" s="36"/>
    </row>
  </sheetData>
  <mergeCells count="3">
    <mergeCell ref="A1:E1"/>
    <mergeCell ref="A2:E2"/>
    <mergeCell ref="F1:G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workbookViewId="0">
      <selection activeCell="A13" sqref="A13:L20"/>
    </sheetView>
  </sheetViews>
  <sheetFormatPr defaultColWidth="9" defaultRowHeight="14.4"/>
  <cols>
    <col min="1" max="1" width="10.8796296296296" style="6" customWidth="1"/>
    <col min="2" max="2" width="10.3796296296296" style="6"/>
    <col min="3" max="3" width="11.6296296296296" style="6" customWidth="1"/>
    <col min="4" max="4" width="10.3796296296296" style="6"/>
    <col min="5" max="5" width="16.25" style="7" customWidth="1"/>
    <col min="6" max="6" width="12.6296296296296" style="8" customWidth="1"/>
    <col min="7" max="7" width="12.75" style="8" customWidth="1"/>
    <col min="8" max="9" width="9" style="6"/>
    <col min="10" max="10" width="7.5" style="6" customWidth="1"/>
    <col min="11" max="11" width="20.1296296296296" style="6" customWidth="1"/>
    <col min="12" max="12" width="12.5" style="6" customWidth="1"/>
    <col min="13" max="13" width="9" style="6"/>
    <col min="14" max="14" width="12.6296296296296" style="6"/>
    <col min="15" max="16384" width="9" style="6"/>
  </cols>
  <sheetData>
    <row r="1" ht="31.5" customHeight="1" spans="1:12">
      <c r="A1" s="9"/>
      <c r="B1" s="10" t="s">
        <v>34</v>
      </c>
      <c r="C1" s="10" t="s">
        <v>50</v>
      </c>
      <c r="D1" s="10" t="s">
        <v>51</v>
      </c>
      <c r="E1" s="11" t="s">
        <v>52</v>
      </c>
      <c r="F1" s="12" t="s">
        <v>53</v>
      </c>
      <c r="G1" s="12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25" t="s">
        <v>59</v>
      </c>
    </row>
    <row r="2" spans="1:12">
      <c r="A2" s="13" t="s">
        <v>60</v>
      </c>
      <c r="B2" s="3">
        <f>客户方案计算表!E4*36</f>
        <v>296413.92</v>
      </c>
      <c r="C2" s="3">
        <f>客户方案计算表!B4</f>
        <v>180000</v>
      </c>
      <c r="D2" s="3">
        <v>36</v>
      </c>
      <c r="E2" s="14">
        <f>客户方案计算表!E4</f>
        <v>8233.72</v>
      </c>
      <c r="F2" s="15">
        <v>10</v>
      </c>
      <c r="G2" s="15">
        <v>22</v>
      </c>
      <c r="H2" s="3">
        <v>11</v>
      </c>
      <c r="I2" s="3">
        <v>21</v>
      </c>
      <c r="J2" s="3">
        <v>4</v>
      </c>
      <c r="K2" s="14">
        <f>客户方案计算表!F41</f>
        <v>40931.4779558015</v>
      </c>
      <c r="L2" s="26">
        <f>B2-C2-客户方案计算表!D41</f>
        <v>92035.7771876916</v>
      </c>
    </row>
    <row r="3" spans="1:12">
      <c r="A3" s="13"/>
      <c r="B3" s="3"/>
      <c r="C3" s="3"/>
      <c r="D3" s="3"/>
      <c r="E3" s="14"/>
      <c r="F3" s="15"/>
      <c r="G3" s="15">
        <f>D3-F3</f>
        <v>0</v>
      </c>
      <c r="H3" s="3"/>
      <c r="I3" s="3">
        <f>D3-H3</f>
        <v>0</v>
      </c>
      <c r="J3" s="3"/>
      <c r="K3" s="3"/>
      <c r="L3" s="27"/>
    </row>
    <row r="4" spans="1:12">
      <c r="A4" s="13" t="s">
        <v>61</v>
      </c>
      <c r="B4" s="3">
        <f>客户方案计算表!E4*36</f>
        <v>296413.92</v>
      </c>
      <c r="C4" s="3">
        <f>客户方案计算表!B4</f>
        <v>180000</v>
      </c>
      <c r="D4" s="3">
        <v>36</v>
      </c>
      <c r="E4" s="14">
        <f>客户方案计算表!E4</f>
        <v>8233.72</v>
      </c>
      <c r="F4" s="15">
        <v>10</v>
      </c>
      <c r="G4" s="15">
        <v>22</v>
      </c>
      <c r="H4" s="3">
        <v>11</v>
      </c>
      <c r="I4" s="3">
        <v>21</v>
      </c>
      <c r="J4" s="3">
        <v>4</v>
      </c>
      <c r="K4" s="14">
        <f>客户方案计算表!F41</f>
        <v>40931.4779558015</v>
      </c>
      <c r="L4" s="26">
        <f>B4-C4-客户方案计算表!D41-客户方案计算表!J41</f>
        <v>75482.4420441985</v>
      </c>
    </row>
    <row r="5" spans="1:12">
      <c r="A5" s="16"/>
      <c r="B5" s="17"/>
      <c r="C5" s="17"/>
      <c r="D5" s="17"/>
      <c r="E5" s="18"/>
      <c r="F5" s="19"/>
      <c r="G5" s="19"/>
      <c r="H5" s="17"/>
      <c r="I5" s="17"/>
      <c r="J5" s="17"/>
      <c r="K5" s="17"/>
      <c r="L5" s="28"/>
    </row>
    <row r="6" spans="1:13">
      <c r="A6" s="20" t="s">
        <v>62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9"/>
    </row>
    <row r="7" spans="1:1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9"/>
    </row>
    <row r="8" spans="1:1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9"/>
    </row>
    <row r="9" spans="1:1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9"/>
    </row>
    <row r="10" spans="1:1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9"/>
    </row>
    <row r="11" ht="81" customHeight="1" spans="1:1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9"/>
    </row>
    <row r="13" spans="1:12">
      <c r="A13" s="22" t="s">
        <v>63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2" spans="1:12">
      <c r="A22" s="22" t="s">
        <v>64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spans="1:1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1:1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1:1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ht="33" customHeight="1" spans="1:1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</sheetData>
  <mergeCells count="4">
    <mergeCell ref="M6:M11"/>
    <mergeCell ref="A6:L11"/>
    <mergeCell ref="A13:L20"/>
    <mergeCell ref="A22:L28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K5"/>
  <sheetViews>
    <sheetView workbookViewId="0">
      <selection activeCell="M5" sqref="M5"/>
    </sheetView>
  </sheetViews>
  <sheetFormatPr defaultColWidth="9" defaultRowHeight="14.4" outlineLevelRow="4"/>
  <cols>
    <col min="7" max="7" width="12.6296296296296"/>
    <col min="10" max="10" width="9.12962962962963"/>
  </cols>
  <sheetData>
    <row r="3" ht="28.8" spans="6:11">
      <c r="F3" s="1" t="s">
        <v>65</v>
      </c>
      <c r="G3" s="1" t="s">
        <v>66</v>
      </c>
      <c r="H3" s="2" t="s">
        <v>67</v>
      </c>
      <c r="I3" s="1" t="s">
        <v>55</v>
      </c>
      <c r="J3" s="1" t="s">
        <v>68</v>
      </c>
      <c r="K3" s="4" t="s">
        <v>49</v>
      </c>
    </row>
    <row r="4" spans="6:11">
      <c r="F4" s="3">
        <v>150000</v>
      </c>
      <c r="G4" s="3">
        <v>36</v>
      </c>
      <c r="H4" s="3">
        <v>6108</v>
      </c>
      <c r="I4" s="3">
        <v>11</v>
      </c>
      <c r="J4" s="5">
        <v>44063</v>
      </c>
      <c r="K4" s="3">
        <v>5</v>
      </c>
    </row>
    <row r="5" spans="6:11">
      <c r="F5" s="3">
        <v>100000</v>
      </c>
      <c r="G5" s="3">
        <v>36</v>
      </c>
      <c r="H5" s="3">
        <v>4864</v>
      </c>
      <c r="I5" s="3">
        <v>19</v>
      </c>
      <c r="J5" s="5">
        <v>44520</v>
      </c>
      <c r="K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客户方案计算表</vt:lpstr>
      <vt:lpstr>逾期利息</vt:lpstr>
      <vt:lpstr>减免计算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yymcc</cp:lastModifiedBy>
  <dcterms:created xsi:type="dcterms:W3CDTF">2020-09-30T02:40:00Z</dcterms:created>
  <dcterms:modified xsi:type="dcterms:W3CDTF">2021-01-27T15:37:32Z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