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<sst xmlns="http://schemas.openxmlformats.org/spreadsheetml/2006/main" count="90" uniqueCount="75">
  <si>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</si>
  <si>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</si>
  <si>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</si>
  <si>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</si>
  <si>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</si>
  <si>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</si>
  <si>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</si>
  <si>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</si>
  <si>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</si>
  <si>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</si>
  <si>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</si>
  <si>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</si>
  <si>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</si>
  <si>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</si>
  <si>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</si>
  <si>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</si>
  <si>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</si>
  <si>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</si>
  <si>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</si>
  <si>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</si>
  <si>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</si>
  <si>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</si>
  <si>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</si>
  <si>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</si>
  <si>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</si>
  <si>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</si>
  <si>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</si>
  <si>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</si>
  <si>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</si>
  <si>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</si>
  <si>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</si>
  <si>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</si>
  <si>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</si>
  <si>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</si>
  <si>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</si>
  <si>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已还金额</t>
  </si>
  <si>
    <t>本金</t>
  </si>
  <si>
    <t>合同未还金额</t>
  </si>
  <si>
    <t>已还利息</t>
  </si>
  <si>
    <t>逾期2期</t>
  </si>
  <si>
    <t>全部法定利息</t>
  </si>
  <si>
    <t>负数不算</t>
  </si>
  <si>
    <t>最大减免金额</t>
  </si>
  <si>
    <t>最小还款金额</t>
  </si>
  <si>
    <t>最后一次还款日</t>
  </si>
  <si>
    <t>最大减免</t>
  </si>
  <si>
    <t>最小减免</t>
  </si>
  <si>
    <t>应付利息</t>
  </si>
  <si>
    <t>客户陈美华情况说明：实际到账金额150000  分期36  每期金额6450   已还30期    每月20号还款   最后一次还款2020.11.20</t>
  </si>
  <si>
    <t>这个案件是客户已经还超，不能按照这个表格数值进行计算。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</si>
  <si>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</si>
  <si>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</si>
  <si>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</si>
  <si>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</si>
  <si>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</si>
  <si>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</si>
  <si>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</si>
  <si>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</si>
  <si>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</si>
  <si>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</si>
  <si>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</si>
  <si>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</si>
  <si>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</si>
  <si>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</si>
  <si>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</si>
  <si>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结果</t>
  </si>
  <si>
    <t>减免最大值</t>
  </si>
  <si>
    <t>减免最小值</t>
  </si>
  <si>
    <t>计算逻辑：
最大减免=合同金额-到账金额-应付利息
合同金额=每期还款*总期数
应付利息=到账金额*24%*（合同签订日期至2020年8月20日的期数）+到账金额*17*（2020年8月20日至客户最后一次还款那个月的期数）
最小减免=合同金额-到账金额-应付利息
应付利息=到账金额*24%*（合同签订日期至2020年8月20日的期数）+到账金额*17*（36-（合同签订日期至2020年8月20日的期数））</t>
  </si>
  <si>
    <t>最大减免=合同金额-已还金额-核算后剩余本金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</si>
  <si>
    <t>最小减免=合同金额-已还金额-核算后剩余本金-剩余法定利息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</si>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</sst>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 "/>
    <numFmt numFmtId="178" formatCode="0.0_ "/>
    <numFmt numFmtId="179" formatCode="0.00;[Red]0.0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15" borderId="4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36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0" borderId="38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3" borderId="37" applyNumberFormat="0" applyAlignment="0" applyProtection="0">
      <alignment vertical="center"/>
    </xf>
    <xf numFmtId="0" fontId="22" fillId="13" borderId="41" applyNumberFormat="0" applyAlignment="0" applyProtection="0">
      <alignment vertical="center"/>
    </xf>
    <xf numFmtId="0" fontId="16" fillId="20" borderId="42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39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77" fontId="0" fillId="0" borderId="15" xfId="0" applyNumberFormat="1" applyFont="1" applyBorder="1" applyAlignment="1">
      <alignment horizontal="center" vertical="center" wrapText="1"/>
    </xf>
    <xf numFmtId="177" fontId="0" fillId="0" borderId="15" xfId="0" applyNumberFormat="1" applyBorder="1" applyAlignment="1">
      <alignment horizontal="center" vertical="center" wrapText="1"/>
    </xf>
    <xf numFmtId="179" fontId="2" fillId="5" borderId="0" xfId="0" applyNumberFormat="1" applyFont="1" applyFill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7" fontId="0" fillId="5" borderId="1" xfId="0" applyNumberFormat="1" applyFill="1" applyBorder="1" applyAlignment="1">
      <alignment horizontal="center" vertical="center" wrapText="1"/>
    </xf>
    <xf numFmtId="177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 wrapText="1"/>
    </xf>
    <xf numFmtId="177" fontId="0" fillId="0" borderId="28" xfId="0" applyNumberFormat="1" applyBorder="1" applyAlignment="1">
      <alignment horizontal="center" vertical="center" wrapText="1"/>
    </xf>
    <xf numFmtId="177" fontId="1" fillId="0" borderId="9" xfId="0" applyNumberFormat="1" applyFon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177" fontId="0" fillId="0" borderId="30" xfId="0" applyNumberFormat="1" applyBorder="1" applyAlignment="1">
      <alignment horizontal="center" vertical="center" wrapText="1"/>
    </xf>
    <xf numFmtId="177" fontId="0" fillId="0" borderId="31" xfId="0" applyNumberFormat="1" applyBorder="1" applyAlignment="1">
      <alignment horizontal="center" vertical="center" wrapText="1"/>
    </xf>
    <xf numFmtId="177" fontId="0" fillId="0" borderId="32" xfId="0" applyNumberFormat="1" applyBorder="1" applyAlignment="1">
      <alignment horizontal="center" vertical="center" wrapText="1"/>
    </xf>
    <xf numFmtId="177" fontId="0" fillId="0" borderId="33" xfId="0" applyNumberFormat="1" applyBorder="1" applyAlignment="1">
      <alignment horizontal="center" vertical="center" wrapText="1"/>
    </xf>
    <xf numFmtId="177" fontId="0" fillId="7" borderId="0" xfId="0" applyNumberFormat="1" applyFill="1" applyAlignment="1">
      <alignment horizontal="center" vertical="center" wrapText="1"/>
    </xf>
    <xf numFmtId="177" fontId="0" fillId="0" borderId="34" xfId="0" applyNumberFormat="1" applyBorder="1" applyAlignment="1">
      <alignment horizontal="center" vertical="center" wrapText="1"/>
    </xf>
    <xf numFmtId="177" fontId="0" fillId="0" borderId="35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12700</xdr:colOff>
      <xdr:row>23</xdr:row>
      <xdr:rowOff>137160</xdr:rowOff>
    </xdr:from>
    <xdr:to>
      <xdr:col>9</xdr:col>
      <xdr:colOff>61595</xdr:colOff>
      <xdr:row>58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48150" y="5551170"/>
          <a:ext cx="3581400" cy="636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68"/>
  <sheetViews>
    <sheetView tabSelected="1" workbookViewId="0">
      <pane ySplit="3" topLeftCell="A31" activePane="bottomLeft" state="frozen"/>
      <selection/>
      <selection pane="bottomLeft" activeCell="L48" sqref="L48"/>
    </sheetView>
  </sheetViews>
  <sheetFormatPr defaultColWidth="9" defaultRowHeight="14.4"/>
  <cols>
    <col min="1" max="1" width="10.1296296296296" style="66"/>
    <col min="2" max="2" width="11.5" style="8"/>
    <col min="3" max="3" width="14" style="57" customWidth="1"/>
    <col min="4" max="4" width="12.6296296296296" style="8"/>
    <col min="5" max="5" width="13.5" style="57" customWidth="1"/>
    <col min="6" max="6" width="12.6296296296296" style="8"/>
    <col min="7" max="7" width="13.5" style="57" customWidth="1"/>
    <col min="8" max="8" width="11.3796296296296" style="8" customWidth="1"/>
    <col min="9" max="9" width="14" style="57" customWidth="1"/>
    <col min="10" max="10" width="10.5" style="8" customWidth="1"/>
    <col min="11" max="11" width="13.6296296296296" style="57" customWidth="1"/>
    <col min="12" max="12" width="15" style="8" customWidth="1"/>
    <col min="13" max="13" width="4.37962962962963" style="8" customWidth="1"/>
    <col min="14" max="14" width="37.75" style="57" customWidth="1"/>
    <col min="15" max="15" width="31.1296296296296" style="57" customWidth="1"/>
    <col min="16" max="16384" width="9" style="57"/>
  </cols>
  <sheetData>
    <row r="1" spans="2:13">
      <c r="B1" s="67" t="s">
        <v>0</v>
      </c>
      <c r="C1" s="68"/>
      <c r="D1" s="68"/>
      <c r="E1" s="68"/>
      <c r="F1" s="68"/>
      <c r="H1" s="67" t="s">
        <v>1</v>
      </c>
      <c r="I1" s="68"/>
      <c r="J1" s="68"/>
      <c r="K1" s="68"/>
      <c r="L1" s="68"/>
      <c r="M1" s="86"/>
    </row>
    <row r="2" ht="72" spans="1:13">
      <c r="A2" s="69" t="s">
        <v>2</v>
      </c>
      <c r="B2" s="70" t="s">
        <v>3</v>
      </c>
      <c r="C2" s="28" t="s">
        <v>4</v>
      </c>
      <c r="D2" s="70" t="s">
        <v>5</v>
      </c>
      <c r="E2" s="28" t="s">
        <v>6</v>
      </c>
      <c r="F2" s="71" t="s">
        <v>7</v>
      </c>
      <c r="H2" s="70" t="s">
        <v>3</v>
      </c>
      <c r="I2" s="28" t="s">
        <v>8</v>
      </c>
      <c r="J2" s="70" t="s">
        <v>9</v>
      </c>
      <c r="K2" s="28" t="s">
        <v>6</v>
      </c>
      <c r="L2" s="71" t="s">
        <v>7</v>
      </c>
      <c r="M2" s="57"/>
    </row>
    <row r="3" ht="28.8" spans="2:17">
      <c r="B3" s="70" t="s">
        <v>10</v>
      </c>
      <c r="C3" s="28" t="s">
        <v>11</v>
      </c>
      <c r="D3" s="70" t="s">
        <v>12</v>
      </c>
      <c r="E3" s="28" t="s">
        <v>13</v>
      </c>
      <c r="F3" s="70" t="s">
        <v>14</v>
      </c>
      <c r="H3" s="70" t="s">
        <v>10</v>
      </c>
      <c r="I3" s="28" t="s">
        <v>11</v>
      </c>
      <c r="J3" s="70" t="s">
        <v>12</v>
      </c>
      <c r="K3" s="28" t="s">
        <v>13</v>
      </c>
      <c r="L3" s="70" t="s">
        <v>14</v>
      </c>
      <c r="M3" s="57"/>
      <c r="N3" s="28" t="s">
        <v>15</v>
      </c>
      <c r="O3" s="28" t="s">
        <v>16</v>
      </c>
      <c r="P3" s="87"/>
      <c r="Q3" s="87"/>
    </row>
    <row r="4" ht="28.8" spans="2:15">
      <c r="B4" s="72">
        <v>150000</v>
      </c>
      <c r="C4" s="1">
        <v>1</v>
      </c>
      <c r="D4" s="31">
        <f>B4*24%/12</f>
        <v>3000</v>
      </c>
      <c r="E4" s="73">
        <v>6450</v>
      </c>
      <c r="F4" s="31">
        <f>E4-D4</f>
        <v>3450</v>
      </c>
      <c r="G4" s="8">
        <v>8.2</v>
      </c>
      <c r="H4" s="72">
        <f>B30</f>
        <v>33835.3752739308</v>
      </c>
      <c r="I4" s="1">
        <v>27</v>
      </c>
      <c r="J4" s="31">
        <f>H4*17%/12</f>
        <v>479.334483047353</v>
      </c>
      <c r="K4" s="73">
        <f>E4</f>
        <v>6450</v>
      </c>
      <c r="L4" s="31">
        <f t="shared" ref="L4:L13" si="0">K4-J4</f>
        <v>5970.66551695265</v>
      </c>
      <c r="M4" s="57"/>
      <c r="N4" s="1" t="s">
        <v>17</v>
      </c>
      <c r="O4" s="1"/>
    </row>
    <row r="5" spans="2:15">
      <c r="B5" s="31">
        <f>B4-F4</f>
        <v>146550</v>
      </c>
      <c r="C5" s="1">
        <v>2</v>
      </c>
      <c r="D5" s="31">
        <f t="shared" ref="D5:D39" si="1">B5*24%/12</f>
        <v>2931</v>
      </c>
      <c r="E5" s="74">
        <f>$E$4</f>
        <v>6450</v>
      </c>
      <c r="F5" s="31">
        <f t="shared" ref="F5:F23" si="2">E5-D5</f>
        <v>3519</v>
      </c>
      <c r="G5" s="8">
        <v>9.2</v>
      </c>
      <c r="H5" s="31">
        <f t="shared" ref="H5:H13" si="3">H4-L4</f>
        <v>27864.7097569781</v>
      </c>
      <c r="I5" s="1">
        <v>28</v>
      </c>
      <c r="J5" s="31">
        <f t="shared" ref="J5:J39" si="4">H5*17%/12</f>
        <v>394.750054890523</v>
      </c>
      <c r="K5" s="74">
        <f>$E$4</f>
        <v>6450</v>
      </c>
      <c r="L5" s="31">
        <f t="shared" si="0"/>
        <v>6055.24994510948</v>
      </c>
      <c r="M5" s="57"/>
      <c r="N5" s="76" t="s">
        <v>18</v>
      </c>
      <c r="O5" s="76" t="s">
        <v>19</v>
      </c>
    </row>
    <row r="6" spans="2:15">
      <c r="B6" s="31">
        <f t="shared" ref="B6:B14" si="5">B5-F5</f>
        <v>143031</v>
      </c>
      <c r="C6" s="1">
        <v>3</v>
      </c>
      <c r="D6" s="31">
        <f t="shared" si="1"/>
        <v>2860.62</v>
      </c>
      <c r="E6" s="74">
        <f t="shared" ref="E6:E15" si="6">$E$4</f>
        <v>6450</v>
      </c>
      <c r="F6" s="31">
        <f t="shared" si="2"/>
        <v>3589.38</v>
      </c>
      <c r="G6" s="8">
        <v>10.2</v>
      </c>
      <c r="H6" s="31">
        <f t="shared" si="3"/>
        <v>21809.4598118686</v>
      </c>
      <c r="I6" s="1">
        <v>29</v>
      </c>
      <c r="J6" s="31">
        <f t="shared" si="4"/>
        <v>308.967347334806</v>
      </c>
      <c r="K6" s="74">
        <f>$E$4</f>
        <v>6450</v>
      </c>
      <c r="L6" s="31">
        <f t="shared" si="0"/>
        <v>6141.03265266519</v>
      </c>
      <c r="M6" s="57"/>
      <c r="N6" s="1" t="s">
        <v>20</v>
      </c>
      <c r="O6" s="1"/>
    </row>
    <row r="7" spans="2:15">
      <c r="B7" s="31">
        <f t="shared" si="5"/>
        <v>139441.62</v>
      </c>
      <c r="C7" s="1">
        <v>4</v>
      </c>
      <c r="D7" s="31">
        <f t="shared" si="1"/>
        <v>2788.8324</v>
      </c>
      <c r="E7" s="74">
        <f t="shared" si="6"/>
        <v>6450</v>
      </c>
      <c r="F7" s="31">
        <f t="shared" si="2"/>
        <v>3661.1676</v>
      </c>
      <c r="G7" s="8">
        <v>11.2</v>
      </c>
      <c r="H7" s="31">
        <f t="shared" si="3"/>
        <v>15668.4271592034</v>
      </c>
      <c r="I7" s="1">
        <v>30</v>
      </c>
      <c r="J7" s="75">
        <f t="shared" si="4"/>
        <v>221.969384755382</v>
      </c>
      <c r="K7" s="74">
        <f>$E$4</f>
        <v>6450</v>
      </c>
      <c r="L7" s="31">
        <f t="shared" si="0"/>
        <v>6228.03061524462</v>
      </c>
      <c r="M7" s="57"/>
      <c r="N7" s="1" t="s">
        <v>21</v>
      </c>
      <c r="O7" s="1"/>
    </row>
    <row r="8" ht="24" customHeight="1" spans="2:15">
      <c r="B8" s="31">
        <f t="shared" si="5"/>
        <v>135780.4524</v>
      </c>
      <c r="C8" s="1">
        <v>5</v>
      </c>
      <c r="D8" s="31">
        <f t="shared" si="1"/>
        <v>2715.609048</v>
      </c>
      <c r="E8" s="74">
        <f t="shared" si="6"/>
        <v>6450</v>
      </c>
      <c r="F8" s="31">
        <f t="shared" si="2"/>
        <v>3734.390952</v>
      </c>
      <c r="G8" s="8">
        <v>12.2</v>
      </c>
      <c r="H8" s="31">
        <f t="shared" si="3"/>
        <v>9440.39654395881</v>
      </c>
      <c r="I8" s="1">
        <v>31</v>
      </c>
      <c r="J8" s="75">
        <f t="shared" si="4"/>
        <v>133.738951039416</v>
      </c>
      <c r="K8" s="74">
        <f>$E$4</f>
        <v>6450</v>
      </c>
      <c r="L8" s="31">
        <f t="shared" si="0"/>
        <v>6316.26104896058</v>
      </c>
      <c r="M8" s="57"/>
      <c r="N8" s="1" t="s">
        <v>22</v>
      </c>
      <c r="O8" s="88"/>
    </row>
    <row r="9" spans="2:15">
      <c r="B9" s="31">
        <f t="shared" si="5"/>
        <v>132046.061448</v>
      </c>
      <c r="C9" s="1">
        <v>6</v>
      </c>
      <c r="D9" s="31">
        <f t="shared" si="1"/>
        <v>2640.92122896</v>
      </c>
      <c r="E9" s="74">
        <f t="shared" si="6"/>
        <v>6450</v>
      </c>
      <c r="F9" s="31">
        <f t="shared" si="2"/>
        <v>3809.07877104</v>
      </c>
      <c r="G9" s="8">
        <v>1.2</v>
      </c>
      <c r="H9" s="75">
        <f t="shared" si="3"/>
        <v>3124.13549499823</v>
      </c>
      <c r="I9" s="1">
        <v>32</v>
      </c>
      <c r="J9" s="77">
        <f t="shared" si="4"/>
        <v>44.2585861791416</v>
      </c>
      <c r="K9" s="74">
        <f>$E$4</f>
        <v>6450</v>
      </c>
      <c r="L9" s="31">
        <f t="shared" si="0"/>
        <v>6405.74141382086</v>
      </c>
      <c r="M9" s="57"/>
      <c r="N9" s="76" t="s">
        <v>23</v>
      </c>
      <c r="O9" s="88" t="s">
        <v>24</v>
      </c>
    </row>
    <row r="10" spans="2:15">
      <c r="B10" s="31">
        <f t="shared" si="5"/>
        <v>128236.98267696</v>
      </c>
      <c r="C10" s="1">
        <v>7</v>
      </c>
      <c r="D10" s="31">
        <f t="shared" si="1"/>
        <v>2564.7396535392</v>
      </c>
      <c r="E10" s="74">
        <f t="shared" si="6"/>
        <v>6450</v>
      </c>
      <c r="F10" s="31">
        <f t="shared" si="2"/>
        <v>3885.2603464608</v>
      </c>
      <c r="G10" s="8"/>
      <c r="H10" s="31">
        <f t="shared" si="3"/>
        <v>-3281.60591882263</v>
      </c>
      <c r="I10" s="1">
        <v>33</v>
      </c>
      <c r="J10" s="31">
        <f t="shared" si="4"/>
        <v>-46.4894171833206</v>
      </c>
      <c r="K10" s="74">
        <f>$E$4</f>
        <v>6450</v>
      </c>
      <c r="L10" s="31">
        <f t="shared" si="0"/>
        <v>6496.48941718332</v>
      </c>
      <c r="M10" s="57"/>
      <c r="N10" s="76" t="s">
        <v>25</v>
      </c>
      <c r="O10" s="1"/>
    </row>
    <row r="11" spans="2:15">
      <c r="B11" s="31">
        <f t="shared" si="5"/>
        <v>124351.722330499</v>
      </c>
      <c r="C11" s="1">
        <v>8</v>
      </c>
      <c r="D11" s="31">
        <f t="shared" si="1"/>
        <v>2487.03444660998</v>
      </c>
      <c r="E11" s="74">
        <f t="shared" si="6"/>
        <v>6450</v>
      </c>
      <c r="F11" s="31">
        <f t="shared" si="2"/>
        <v>3962.96555339002</v>
      </c>
      <c r="G11" s="8"/>
      <c r="H11" s="31">
        <f t="shared" si="3"/>
        <v>-9778.09533600595</v>
      </c>
      <c r="I11" s="1">
        <v>34</v>
      </c>
      <c r="J11" s="31">
        <f t="shared" si="4"/>
        <v>-138.523017260084</v>
      </c>
      <c r="K11" s="74">
        <f>$E$4</f>
        <v>6450</v>
      </c>
      <c r="L11" s="31">
        <f t="shared" si="0"/>
        <v>6588.52301726008</v>
      </c>
      <c r="M11" s="57"/>
      <c r="N11" s="1" t="s">
        <v>26</v>
      </c>
      <c r="O11" s="1" t="s">
        <v>27</v>
      </c>
    </row>
    <row r="12" spans="2:13">
      <c r="B12" s="31">
        <f t="shared" si="5"/>
        <v>120388.756777109</v>
      </c>
      <c r="C12" s="1">
        <v>9</v>
      </c>
      <c r="D12" s="31">
        <f t="shared" si="1"/>
        <v>2407.77513554218</v>
      </c>
      <c r="E12" s="74">
        <f t="shared" si="6"/>
        <v>6450</v>
      </c>
      <c r="F12" s="31">
        <f t="shared" si="2"/>
        <v>4042.22486445782</v>
      </c>
      <c r="G12" s="8"/>
      <c r="H12" s="31">
        <f t="shared" si="3"/>
        <v>-16366.618353266</v>
      </c>
      <c r="I12" s="1">
        <v>35</v>
      </c>
      <c r="J12" s="31">
        <f t="shared" si="4"/>
        <v>-231.860426671269</v>
      </c>
      <c r="K12" s="74">
        <f>$E$4</f>
        <v>6450</v>
      </c>
      <c r="L12" s="31">
        <f t="shared" si="0"/>
        <v>6681.86042667127</v>
      </c>
      <c r="M12" s="57"/>
    </row>
    <row r="13" ht="13.5" customHeight="1" spans="2:15">
      <c r="B13" s="31">
        <f t="shared" si="5"/>
        <v>116346.531912651</v>
      </c>
      <c r="C13" s="76">
        <v>10</v>
      </c>
      <c r="D13" s="31">
        <f t="shared" si="1"/>
        <v>2326.93063825303</v>
      </c>
      <c r="E13" s="74">
        <f t="shared" si="6"/>
        <v>6450</v>
      </c>
      <c r="F13" s="31">
        <f t="shared" si="2"/>
        <v>4123.06936174697</v>
      </c>
      <c r="G13" s="8"/>
      <c r="H13" s="31">
        <f t="shared" si="3"/>
        <v>-23048.4787799373</v>
      </c>
      <c r="I13" s="1">
        <v>36</v>
      </c>
      <c r="J13" s="31">
        <f t="shared" si="4"/>
        <v>-326.520116049112</v>
      </c>
      <c r="K13" s="74">
        <f>$E$4</f>
        <v>6450</v>
      </c>
      <c r="L13" s="31">
        <f t="shared" si="0"/>
        <v>6776.52011604911</v>
      </c>
      <c r="M13" s="57"/>
      <c r="N13" s="89" t="s">
        <v>28</v>
      </c>
      <c r="O13" s="90"/>
    </row>
    <row r="14" spans="2:15">
      <c r="B14" s="75">
        <f t="shared" si="5"/>
        <v>112223.462550904</v>
      </c>
      <c r="C14" s="74">
        <v>11</v>
      </c>
      <c r="D14" s="75">
        <f t="shared" si="1"/>
        <v>2244.46925101809</v>
      </c>
      <c r="E14" s="74">
        <f t="shared" si="6"/>
        <v>6450</v>
      </c>
      <c r="F14" s="75">
        <f t="shared" si="2"/>
        <v>4205.53074898191</v>
      </c>
      <c r="G14" s="8"/>
      <c r="H14" s="31"/>
      <c r="I14" s="1"/>
      <c r="J14" s="31"/>
      <c r="K14" s="74"/>
      <c r="L14" s="31"/>
      <c r="M14" s="57"/>
      <c r="N14" s="91"/>
      <c r="O14" s="92"/>
    </row>
    <row r="15" spans="2:15">
      <c r="B15" s="75">
        <f t="shared" ref="B15:B26" si="7">B14-F14</f>
        <v>108017.931801923</v>
      </c>
      <c r="C15" s="1">
        <v>12</v>
      </c>
      <c r="D15" s="31">
        <f t="shared" si="1"/>
        <v>2160.35863603845</v>
      </c>
      <c r="E15" s="74">
        <f t="shared" si="6"/>
        <v>6450</v>
      </c>
      <c r="F15" s="31">
        <f t="shared" si="2"/>
        <v>4289.64136396155</v>
      </c>
      <c r="H15" s="31"/>
      <c r="I15" s="1"/>
      <c r="J15" s="31"/>
      <c r="K15" s="74"/>
      <c r="L15" s="31"/>
      <c r="M15" s="57"/>
      <c r="N15" s="91"/>
      <c r="O15" s="92"/>
    </row>
    <row r="16" spans="2:15">
      <c r="B16" s="75">
        <f t="shared" si="7"/>
        <v>103728.290437961</v>
      </c>
      <c r="C16" s="1">
        <v>13</v>
      </c>
      <c r="D16" s="31">
        <f t="shared" si="1"/>
        <v>2074.56580875922</v>
      </c>
      <c r="E16" s="74">
        <f t="shared" ref="E16:E25" si="8">$E$4</f>
        <v>6450</v>
      </c>
      <c r="F16" s="31">
        <f t="shared" si="2"/>
        <v>4375.43419124078</v>
      </c>
      <c r="H16" s="31"/>
      <c r="I16" s="1"/>
      <c r="J16" s="31"/>
      <c r="K16" s="74"/>
      <c r="L16" s="31"/>
      <c r="M16" s="57"/>
      <c r="N16" s="91"/>
      <c r="O16" s="92"/>
    </row>
    <row r="17" spans="2:15">
      <c r="B17" s="75">
        <f t="shared" si="7"/>
        <v>99352.8562467202</v>
      </c>
      <c r="C17" s="1">
        <v>14</v>
      </c>
      <c r="D17" s="31">
        <f t="shared" si="1"/>
        <v>1987.0571249344</v>
      </c>
      <c r="E17" s="74">
        <f t="shared" si="8"/>
        <v>6450</v>
      </c>
      <c r="F17" s="31">
        <f t="shared" si="2"/>
        <v>4462.9428750656</v>
      </c>
      <c r="H17" s="31"/>
      <c r="I17" s="1"/>
      <c r="J17" s="31"/>
      <c r="K17" s="74"/>
      <c r="L17" s="31"/>
      <c r="M17" s="57"/>
      <c r="N17" s="91"/>
      <c r="O17" s="92"/>
    </row>
    <row r="18" spans="2:15">
      <c r="B18" s="75">
        <f t="shared" si="7"/>
        <v>94889.9133716546</v>
      </c>
      <c r="C18" s="1">
        <v>15</v>
      </c>
      <c r="D18" s="31">
        <f t="shared" si="1"/>
        <v>1897.79826743309</v>
      </c>
      <c r="E18" s="74">
        <f t="shared" si="8"/>
        <v>6450</v>
      </c>
      <c r="F18" s="31">
        <f t="shared" si="2"/>
        <v>4552.20173256691</v>
      </c>
      <c r="H18" s="31"/>
      <c r="I18" s="1"/>
      <c r="J18" s="31"/>
      <c r="K18" s="74"/>
      <c r="L18" s="31"/>
      <c r="M18" s="57"/>
      <c r="N18" s="91"/>
      <c r="O18" s="92"/>
    </row>
    <row r="19" spans="2:15">
      <c r="B19" s="75">
        <f t="shared" si="7"/>
        <v>90337.7116390877</v>
      </c>
      <c r="C19" s="1">
        <v>16</v>
      </c>
      <c r="D19" s="31">
        <f t="shared" si="1"/>
        <v>1806.75423278175</v>
      </c>
      <c r="E19" s="74">
        <f t="shared" si="8"/>
        <v>6450</v>
      </c>
      <c r="F19" s="31">
        <f t="shared" si="2"/>
        <v>4643.24576721825</v>
      </c>
      <c r="H19" s="31"/>
      <c r="I19" s="1"/>
      <c r="J19" s="31"/>
      <c r="K19" s="74"/>
      <c r="L19" s="31"/>
      <c r="M19" s="57"/>
      <c r="N19" s="91"/>
      <c r="O19" s="92"/>
    </row>
    <row r="20" spans="2:15">
      <c r="B20" s="75">
        <f t="shared" si="7"/>
        <v>85694.4658718694</v>
      </c>
      <c r="C20" s="74">
        <v>17</v>
      </c>
      <c r="D20" s="75">
        <f t="shared" si="1"/>
        <v>1713.88931743739</v>
      </c>
      <c r="E20" s="74">
        <f t="shared" si="8"/>
        <v>6450</v>
      </c>
      <c r="F20" s="75">
        <f t="shared" si="2"/>
        <v>4736.11068256261</v>
      </c>
      <c r="H20" s="31"/>
      <c r="I20" s="1"/>
      <c r="J20" s="31"/>
      <c r="K20" s="74"/>
      <c r="L20" s="31"/>
      <c r="M20" s="57"/>
      <c r="N20" s="93"/>
      <c r="O20" s="94"/>
    </row>
    <row r="21" spans="2:13">
      <c r="B21" s="75">
        <f t="shared" si="7"/>
        <v>80958.3551893068</v>
      </c>
      <c r="C21" s="74">
        <v>18</v>
      </c>
      <c r="D21" s="75">
        <f t="shared" si="1"/>
        <v>1619.16710378614</v>
      </c>
      <c r="E21" s="74">
        <f t="shared" si="8"/>
        <v>6450</v>
      </c>
      <c r="F21" s="75">
        <f t="shared" si="2"/>
        <v>4830.83289621386</v>
      </c>
      <c r="H21" s="31"/>
      <c r="I21" s="1"/>
      <c r="J21" s="31"/>
      <c r="K21" s="74"/>
      <c r="L21" s="31"/>
      <c r="M21" s="86"/>
    </row>
    <row r="22" spans="2:13">
      <c r="B22" s="75">
        <f t="shared" si="7"/>
        <v>76127.5222930929</v>
      </c>
      <c r="C22" s="74">
        <v>19</v>
      </c>
      <c r="D22" s="31">
        <f t="shared" si="1"/>
        <v>1522.55044586186</v>
      </c>
      <c r="E22" s="74">
        <f t="shared" si="8"/>
        <v>6450</v>
      </c>
      <c r="F22" s="31">
        <f t="shared" si="2"/>
        <v>4927.44955413814</v>
      </c>
      <c r="H22" s="31"/>
      <c r="I22" s="1"/>
      <c r="J22" s="31"/>
      <c r="K22" s="74"/>
      <c r="L22" s="31"/>
      <c r="M22" s="86"/>
    </row>
    <row r="23" spans="2:13">
      <c r="B23" s="75">
        <f t="shared" si="7"/>
        <v>71200.0727389548</v>
      </c>
      <c r="C23" s="74">
        <v>20</v>
      </c>
      <c r="D23" s="31">
        <f t="shared" si="1"/>
        <v>1424.0014547791</v>
      </c>
      <c r="E23" s="74">
        <f t="shared" si="8"/>
        <v>6450</v>
      </c>
      <c r="F23" s="31">
        <f t="shared" si="2"/>
        <v>5025.9985452209</v>
      </c>
      <c r="H23" s="31"/>
      <c r="I23" s="1"/>
      <c r="J23" s="31"/>
      <c r="K23" s="74"/>
      <c r="L23" s="31"/>
      <c r="M23" s="86"/>
    </row>
    <row r="24" spans="2:13">
      <c r="B24" s="75">
        <f t="shared" si="7"/>
        <v>66174.0741937339</v>
      </c>
      <c r="C24" s="74">
        <v>21</v>
      </c>
      <c r="D24" s="31">
        <f t="shared" si="1"/>
        <v>1323.48148387468</v>
      </c>
      <c r="E24" s="74">
        <f t="shared" si="8"/>
        <v>6450</v>
      </c>
      <c r="F24" s="31">
        <f t="shared" ref="F24:F39" si="9">E24-D24</f>
        <v>5126.51851612532</v>
      </c>
      <c r="H24" s="31"/>
      <c r="I24" s="1"/>
      <c r="J24" s="31"/>
      <c r="K24" s="74"/>
      <c r="L24" s="31"/>
      <c r="M24" s="86"/>
    </row>
    <row r="25" spans="2:13">
      <c r="B25" s="75">
        <f t="shared" si="7"/>
        <v>61047.5556776086</v>
      </c>
      <c r="C25" s="74">
        <v>22</v>
      </c>
      <c r="D25" s="31">
        <f t="shared" si="1"/>
        <v>1220.95111355217</v>
      </c>
      <c r="E25" s="74">
        <f t="shared" si="8"/>
        <v>6450</v>
      </c>
      <c r="F25" s="31">
        <f t="shared" si="9"/>
        <v>5229.04888644783</v>
      </c>
      <c r="H25" s="31"/>
      <c r="I25" s="1"/>
      <c r="J25" s="31"/>
      <c r="K25" s="74"/>
      <c r="L25" s="31"/>
      <c r="M25" s="86"/>
    </row>
    <row r="26" spans="2:15">
      <c r="B26" s="75">
        <f t="shared" si="7"/>
        <v>55818.5067911607</v>
      </c>
      <c r="C26" s="74">
        <v>23</v>
      </c>
      <c r="D26" s="31">
        <f t="shared" si="1"/>
        <v>1116.37013582321</v>
      </c>
      <c r="E26" s="74">
        <f t="shared" ref="E26:E39" si="10">$E$4</f>
        <v>6450</v>
      </c>
      <c r="F26" s="31">
        <f t="shared" si="9"/>
        <v>5333.62986417679</v>
      </c>
      <c r="H26" s="31"/>
      <c r="I26" s="1"/>
      <c r="J26" s="31"/>
      <c r="K26" s="74"/>
      <c r="L26" s="31"/>
      <c r="M26" s="86"/>
      <c r="O26" s="57">
        <v>51535</v>
      </c>
    </row>
    <row r="27" spans="2:15">
      <c r="B27" s="75">
        <f t="shared" ref="B27:B39" si="11">B26-F26</f>
        <v>50484.8769269839</v>
      </c>
      <c r="C27" s="74">
        <v>24</v>
      </c>
      <c r="D27" s="31">
        <f t="shared" si="1"/>
        <v>1009.69753853968</v>
      </c>
      <c r="E27" s="74">
        <f t="shared" si="10"/>
        <v>6450</v>
      </c>
      <c r="F27" s="31">
        <f t="shared" si="9"/>
        <v>5440.30246146032</v>
      </c>
      <c r="H27" s="31"/>
      <c r="I27" s="1"/>
      <c r="J27" s="31"/>
      <c r="K27" s="74"/>
      <c r="L27" s="31"/>
      <c r="M27" s="86"/>
      <c r="O27" s="57">
        <v>1538.7</v>
      </c>
    </row>
    <row r="28" spans="2:15">
      <c r="B28" s="75">
        <f t="shared" si="11"/>
        <v>45044.5744655236</v>
      </c>
      <c r="C28" s="74">
        <v>25</v>
      </c>
      <c r="D28" s="77">
        <f t="shared" si="1"/>
        <v>900.891489310472</v>
      </c>
      <c r="E28" s="74">
        <f t="shared" si="10"/>
        <v>6450</v>
      </c>
      <c r="F28" s="31">
        <f t="shared" si="9"/>
        <v>5549.10851068953</v>
      </c>
      <c r="H28" s="31"/>
      <c r="I28" s="1"/>
      <c r="J28" s="31"/>
      <c r="K28" s="74"/>
      <c r="L28" s="31"/>
      <c r="M28" s="86"/>
      <c r="O28" s="57">
        <f>O26+O27</f>
        <v>53073.7</v>
      </c>
    </row>
    <row r="29" spans="1:13">
      <c r="A29" s="66">
        <v>7.2</v>
      </c>
      <c r="B29" s="75">
        <f t="shared" si="11"/>
        <v>39495.4659548341</v>
      </c>
      <c r="C29" s="74">
        <v>26</v>
      </c>
      <c r="D29" s="77">
        <f t="shared" si="1"/>
        <v>789.909319096682</v>
      </c>
      <c r="E29" s="74">
        <f t="shared" si="10"/>
        <v>6450</v>
      </c>
      <c r="F29" s="31">
        <f t="shared" si="9"/>
        <v>5660.09068090332</v>
      </c>
      <c r="H29" s="31"/>
      <c r="I29" s="1"/>
      <c r="J29" s="31"/>
      <c r="K29" s="74"/>
      <c r="L29" s="31"/>
      <c r="M29" s="86"/>
    </row>
    <row r="30" spans="1:14">
      <c r="A30" s="66">
        <v>8.2</v>
      </c>
      <c r="B30" s="75">
        <f t="shared" si="11"/>
        <v>33835.3752739308</v>
      </c>
      <c r="C30" s="74">
        <v>27</v>
      </c>
      <c r="D30" s="31">
        <f t="shared" si="1"/>
        <v>676.707505478616</v>
      </c>
      <c r="E30" s="74">
        <f t="shared" si="10"/>
        <v>6450</v>
      </c>
      <c r="F30" s="31">
        <f t="shared" si="9"/>
        <v>5773.29249452138</v>
      </c>
      <c r="H30" s="31"/>
      <c r="I30" s="1"/>
      <c r="J30" s="31"/>
      <c r="K30" s="74"/>
      <c r="L30" s="31"/>
      <c r="M30" s="86"/>
      <c r="N30" s="57">
        <f>SUM(D4:D29)</f>
        <v>51535.3752739308</v>
      </c>
    </row>
    <row r="31" spans="1:14">
      <c r="A31" s="66">
        <v>9.2</v>
      </c>
      <c r="B31" s="75">
        <f t="shared" si="11"/>
        <v>28062.0827794094</v>
      </c>
      <c r="C31" s="74">
        <v>28</v>
      </c>
      <c r="D31" s="31">
        <f t="shared" si="1"/>
        <v>561.241655588188</v>
      </c>
      <c r="E31" s="74">
        <f t="shared" si="10"/>
        <v>6450</v>
      </c>
      <c r="F31" s="31">
        <f t="shared" si="9"/>
        <v>5888.75834441181</v>
      </c>
      <c r="H31" s="31"/>
      <c r="I31" s="1"/>
      <c r="J31" s="31"/>
      <c r="K31" s="74"/>
      <c r="L31" s="31"/>
      <c r="M31" s="86"/>
      <c r="N31" s="57">
        <f>SUM(J4:J9)</f>
        <v>1583.01880724662</v>
      </c>
    </row>
    <row r="32" spans="1:14">
      <c r="A32" s="66">
        <v>10.2</v>
      </c>
      <c r="B32" s="75">
        <f t="shared" si="11"/>
        <v>22173.3244349976</v>
      </c>
      <c r="C32" s="74">
        <v>29</v>
      </c>
      <c r="D32" s="31">
        <f t="shared" si="1"/>
        <v>443.466488699952</v>
      </c>
      <c r="E32" s="74">
        <f t="shared" si="10"/>
        <v>6450</v>
      </c>
      <c r="F32" s="31">
        <f t="shared" si="9"/>
        <v>6006.53351130005</v>
      </c>
      <c r="H32" s="31"/>
      <c r="I32" s="1"/>
      <c r="J32" s="31">
        <f t="shared" si="4"/>
        <v>0</v>
      </c>
      <c r="K32" s="74"/>
      <c r="L32" s="31"/>
      <c r="M32" s="86"/>
      <c r="N32" s="57">
        <f>N30+N31</f>
        <v>53118.3940811774</v>
      </c>
    </row>
    <row r="33" spans="1:13">
      <c r="A33" s="66">
        <v>11.2</v>
      </c>
      <c r="B33" s="78">
        <f t="shared" si="11"/>
        <v>16166.7909236975</v>
      </c>
      <c r="C33" s="79">
        <v>30</v>
      </c>
      <c r="D33" s="78">
        <f t="shared" si="1"/>
        <v>323.335818473951</v>
      </c>
      <c r="E33" s="79">
        <f t="shared" si="10"/>
        <v>6450</v>
      </c>
      <c r="F33" s="78">
        <f t="shared" si="9"/>
        <v>6126.66418152605</v>
      </c>
      <c r="H33" s="31"/>
      <c r="I33" s="1"/>
      <c r="J33" s="31">
        <f t="shared" si="4"/>
        <v>0</v>
      </c>
      <c r="K33" s="74"/>
      <c r="L33" s="31"/>
      <c r="M33" s="86"/>
    </row>
    <row r="34" spans="2:13">
      <c r="B34" s="78">
        <f t="shared" si="11"/>
        <v>10040.1267421715</v>
      </c>
      <c r="C34" s="74">
        <v>31</v>
      </c>
      <c r="D34" s="31">
        <f t="shared" si="1"/>
        <v>200.80253484343</v>
      </c>
      <c r="E34" s="74">
        <f t="shared" si="10"/>
        <v>6450</v>
      </c>
      <c r="F34" s="31">
        <f t="shared" si="9"/>
        <v>6249.19746515657</v>
      </c>
      <c r="H34" s="31"/>
      <c r="I34" s="1"/>
      <c r="J34" s="31">
        <f t="shared" si="4"/>
        <v>0</v>
      </c>
      <c r="K34" s="74"/>
      <c r="L34" s="31"/>
      <c r="M34" s="86"/>
    </row>
    <row r="35" spans="2:13">
      <c r="B35" s="78">
        <f t="shared" si="11"/>
        <v>3790.92927701492</v>
      </c>
      <c r="C35" s="74">
        <v>32</v>
      </c>
      <c r="D35" s="31">
        <f t="shared" si="1"/>
        <v>75.8185855402984</v>
      </c>
      <c r="E35" s="74">
        <f t="shared" si="10"/>
        <v>6450</v>
      </c>
      <c r="F35" s="31">
        <f t="shared" si="9"/>
        <v>6374.1814144597</v>
      </c>
      <c r="H35" s="31"/>
      <c r="I35" s="1"/>
      <c r="J35" s="31">
        <f t="shared" si="4"/>
        <v>0</v>
      </c>
      <c r="K35" s="74"/>
      <c r="L35" s="31"/>
      <c r="M35" s="86"/>
    </row>
    <row r="36" spans="2:13">
      <c r="B36" s="78">
        <f t="shared" si="11"/>
        <v>-2583.25213744478</v>
      </c>
      <c r="C36" s="74">
        <v>33</v>
      </c>
      <c r="D36" s="31">
        <f t="shared" si="1"/>
        <v>-51.6650427488956</v>
      </c>
      <c r="E36" s="74">
        <f t="shared" si="10"/>
        <v>6450</v>
      </c>
      <c r="F36" s="31">
        <f t="shared" si="9"/>
        <v>6501.6650427489</v>
      </c>
      <c r="H36" s="31"/>
      <c r="I36" s="1"/>
      <c r="J36" s="31">
        <f t="shared" si="4"/>
        <v>0</v>
      </c>
      <c r="K36" s="74"/>
      <c r="L36" s="31"/>
      <c r="M36" s="86"/>
    </row>
    <row r="37" spans="2:13">
      <c r="B37" s="78">
        <f t="shared" si="11"/>
        <v>-9084.91718019368</v>
      </c>
      <c r="C37" s="74">
        <v>34</v>
      </c>
      <c r="D37" s="31">
        <f t="shared" si="1"/>
        <v>-181.698343603874</v>
      </c>
      <c r="E37" s="74">
        <f t="shared" si="10"/>
        <v>6450</v>
      </c>
      <c r="F37" s="31">
        <f t="shared" si="9"/>
        <v>6631.69834360387</v>
      </c>
      <c r="H37" s="31"/>
      <c r="I37" s="1"/>
      <c r="J37" s="31">
        <f t="shared" si="4"/>
        <v>0</v>
      </c>
      <c r="K37" s="74"/>
      <c r="L37" s="31"/>
      <c r="M37" s="86"/>
    </row>
    <row r="38" spans="2:13">
      <c r="B38" s="78">
        <f t="shared" si="11"/>
        <v>-15716.6155237976</v>
      </c>
      <c r="C38" s="74">
        <v>35</v>
      </c>
      <c r="D38" s="31">
        <f t="shared" si="1"/>
        <v>-314.332310475951</v>
      </c>
      <c r="E38" s="74">
        <f t="shared" si="10"/>
        <v>6450</v>
      </c>
      <c r="F38" s="31">
        <f t="shared" si="9"/>
        <v>6764.33231047595</v>
      </c>
      <c r="H38" s="31"/>
      <c r="I38" s="1"/>
      <c r="J38" s="31">
        <f t="shared" si="4"/>
        <v>0</v>
      </c>
      <c r="K38" s="74"/>
      <c r="L38" s="31"/>
      <c r="M38" s="86"/>
    </row>
    <row r="39" spans="2:13">
      <c r="B39" s="78">
        <f t="shared" si="11"/>
        <v>-22480.9478342735</v>
      </c>
      <c r="C39" s="74">
        <v>36</v>
      </c>
      <c r="D39" s="31">
        <f t="shared" si="1"/>
        <v>-449.61895668547</v>
      </c>
      <c r="E39" s="74">
        <f t="shared" si="10"/>
        <v>6450</v>
      </c>
      <c r="F39" s="31">
        <f t="shared" si="9"/>
        <v>6899.61895668547</v>
      </c>
      <c r="H39" s="31"/>
      <c r="I39" s="1"/>
      <c r="J39" s="31">
        <f t="shared" si="4"/>
        <v>0</v>
      </c>
      <c r="K39" s="74"/>
      <c r="L39" s="31"/>
      <c r="M39" s="86"/>
    </row>
    <row r="41" spans="3:10">
      <c r="C41" s="1" t="s">
        <v>29</v>
      </c>
      <c r="D41" s="31">
        <f>SUM(D4:D13)+J4</f>
        <v>27202.7970339517</v>
      </c>
      <c r="E41" s="57">
        <f>SUM(E4:E14)</f>
        <v>70950</v>
      </c>
      <c r="F41" s="8">
        <f>D41+J41</f>
        <v>26503.6626429671</v>
      </c>
      <c r="I41" s="1" t="s">
        <v>30</v>
      </c>
      <c r="J41" s="31">
        <f>SUM(J9:J21)</f>
        <v>-699.134390984644</v>
      </c>
    </row>
    <row r="42" spans="5:10">
      <c r="E42" s="8"/>
      <c r="I42" s="57" t="s">
        <v>31</v>
      </c>
      <c r="J42" s="8">
        <f>SUM(J5:J8)</f>
        <v>1059.42573802013</v>
      </c>
    </row>
    <row r="43" spans="5:6">
      <c r="E43" s="8">
        <f>E4*36</f>
        <v>232200</v>
      </c>
      <c r="F43" s="8">
        <f>B4</f>
        <v>150000</v>
      </c>
    </row>
    <row r="44" spans="3:5">
      <c r="C44" s="8"/>
      <c r="E44" s="8"/>
    </row>
    <row r="45" spans="3:11">
      <c r="C45" s="8"/>
      <c r="E45" s="8"/>
      <c r="F45" s="8">
        <f>E43-D41-B4-J42</f>
        <v>53937.7772280282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54636.9116190128</v>
      </c>
      <c r="H47" s="8" t="s">
        <v>33</v>
      </c>
      <c r="I47" s="8"/>
      <c r="K47" s="8"/>
    </row>
    <row r="48" spans="5:5">
      <c r="E48" s="8"/>
    </row>
    <row r="49" spans="3:8">
      <c r="C49" s="1" t="s">
        <v>34</v>
      </c>
      <c r="D49" s="31">
        <f>E4*36</f>
        <v>232200</v>
      </c>
      <c r="E49" s="1"/>
      <c r="G49" s="57" t="s">
        <v>35</v>
      </c>
      <c r="H49" s="8">
        <f>E4*30</f>
        <v>193500</v>
      </c>
    </row>
    <row r="50" spans="3:8">
      <c r="C50" s="1" t="s">
        <v>36</v>
      </c>
      <c r="D50" s="31">
        <f>B4</f>
        <v>150000</v>
      </c>
      <c r="E50" s="1"/>
      <c r="G50" s="57" t="s">
        <v>37</v>
      </c>
      <c r="H50" s="8">
        <f>D49-H49</f>
        <v>38700</v>
      </c>
    </row>
    <row r="51" spans="3:8">
      <c r="C51" s="1" t="s">
        <v>38</v>
      </c>
      <c r="D51" s="31">
        <f>SUM(D4:D29)+SUM(J4:J7)</f>
        <v>52940.3965439588</v>
      </c>
      <c r="E51" s="1"/>
      <c r="H51" s="8">
        <f>6450*30</f>
        <v>193500</v>
      </c>
    </row>
    <row r="52" spans="3:8">
      <c r="C52" s="1" t="s">
        <v>31</v>
      </c>
      <c r="D52" s="31">
        <f>SUM(J8:J9)</f>
        <v>177.997537218558</v>
      </c>
      <c r="E52" s="1" t="s">
        <v>39</v>
      </c>
      <c r="H52" s="8">
        <f>6450*36</f>
        <v>232200</v>
      </c>
    </row>
    <row r="53" spans="3:8">
      <c r="C53" s="1" t="s">
        <v>40</v>
      </c>
      <c r="D53" s="31">
        <f>SUM(D4:D29)+SUM(J4:J9)</f>
        <v>53118.3940811774</v>
      </c>
      <c r="E53" s="1" t="s">
        <v>41</v>
      </c>
      <c r="H53" s="8">
        <f>H52-150000</f>
        <v>82200</v>
      </c>
    </row>
    <row r="54" spans="3:5">
      <c r="C54" s="1" t="s">
        <v>42</v>
      </c>
      <c r="D54" s="31">
        <f>D49-D50-D51-D52</f>
        <v>29081.6059188226</v>
      </c>
      <c r="E54" s="1"/>
    </row>
    <row r="55" spans="3:5">
      <c r="C55" s="1" t="s">
        <v>43</v>
      </c>
      <c r="D55" s="31">
        <f>D49-D50-D53</f>
        <v>29081.6059188226</v>
      </c>
      <c r="E55" s="1"/>
    </row>
    <row r="60" ht="15.15"/>
    <row r="61" ht="28.8" spans="2:11">
      <c r="B61" s="80" t="s">
        <v>44</v>
      </c>
      <c r="C61" s="81" t="s">
        <v>45</v>
      </c>
      <c r="D61" s="81" t="s">
        <v>46</v>
      </c>
      <c r="E61" s="81" t="s">
        <v>47</v>
      </c>
      <c r="F61" s="82" t="s">
        <v>31</v>
      </c>
      <c r="H61" s="83" t="s">
        <v>48</v>
      </c>
      <c r="I61" s="95"/>
      <c r="J61" s="95"/>
      <c r="K61" s="96"/>
    </row>
    <row r="62" spans="2:11">
      <c r="B62" s="24">
        <v>11.2</v>
      </c>
      <c r="C62" s="31">
        <v>29081.61</v>
      </c>
      <c r="D62" s="25">
        <v>29081.61</v>
      </c>
      <c r="E62" s="25"/>
      <c r="F62" s="53">
        <v>178</v>
      </c>
      <c r="H62" s="84"/>
      <c r="I62" s="8"/>
      <c r="K62" s="97"/>
    </row>
    <row r="63" spans="2:11">
      <c r="B63" s="85"/>
      <c r="C63" s="25"/>
      <c r="D63" s="25"/>
      <c r="E63" s="25"/>
      <c r="F63" s="53"/>
      <c r="H63" s="84"/>
      <c r="I63" s="8"/>
      <c r="K63" s="97"/>
    </row>
    <row r="64" spans="2:11">
      <c r="B64" s="85"/>
      <c r="C64" s="25"/>
      <c r="D64" s="25"/>
      <c r="E64" s="25"/>
      <c r="F64" s="53"/>
      <c r="H64" s="84"/>
      <c r="I64" s="8"/>
      <c r="K64" s="97"/>
    </row>
    <row r="65" ht="15.15" spans="2:11">
      <c r="B65" s="16"/>
      <c r="C65" s="17"/>
      <c r="D65" s="17"/>
      <c r="E65" s="17"/>
      <c r="F65" s="51"/>
      <c r="H65" s="98"/>
      <c r="I65" s="100"/>
      <c r="J65" s="100"/>
      <c r="K65" s="101"/>
    </row>
    <row r="67" spans="2:6">
      <c r="B67" s="99" t="s">
        <v>49</v>
      </c>
      <c r="C67" s="99"/>
      <c r="D67" s="99"/>
      <c r="E67" s="99"/>
      <c r="F67" s="99"/>
    </row>
    <row r="68" spans="2:6">
      <c r="B68" s="99"/>
      <c r="C68" s="99"/>
      <c r="D68" s="99"/>
      <c r="E68" s="99"/>
      <c r="F68" s="99"/>
    </row>
  </sheetData>
  <mergeCells count="10">
    <mergeCell ref="B1:F1"/>
    <mergeCell ref="H1:L1"/>
    <mergeCell ref="N10:O10"/>
    <mergeCell ref="C45:E45"/>
    <mergeCell ref="H45:L45"/>
    <mergeCell ref="C47:E47"/>
    <mergeCell ref="H47:L47"/>
    <mergeCell ref="N13:O20"/>
    <mergeCell ref="H61:K65"/>
    <mergeCell ref="B67:F6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workbookViewId="0">
      <selection activeCell="C25" sqref="C25"/>
    </sheetView>
  </sheetViews>
  <sheetFormatPr defaultColWidth="11.5" defaultRowHeight="14.4" outlineLevelRow="6" outlineLevelCol="6"/>
  <cols>
    <col min="1" max="1" width="13.3796296296296" style="6" customWidth="1"/>
    <col min="2" max="2" width="11.5" style="6" customWidth="1"/>
    <col min="3" max="3" width="14.1296296296296" style="6" customWidth="1"/>
    <col min="4" max="4" width="11.5" style="6" customWidth="1"/>
    <col min="5" max="16384" width="11.5" style="6"/>
  </cols>
  <sheetData>
    <row r="1" ht="25.5" customHeight="1" spans="1:7">
      <c r="A1" s="60" t="s">
        <v>50</v>
      </c>
      <c r="B1" s="60"/>
      <c r="C1" s="60"/>
      <c r="D1" s="60"/>
      <c r="E1" s="60"/>
      <c r="F1" s="61" t="s">
        <v>51</v>
      </c>
      <c r="G1" s="61"/>
    </row>
    <row r="2" ht="21.95" customHeight="1" spans="1:7">
      <c r="A2" s="62" t="s">
        <v>52</v>
      </c>
      <c r="B2" s="62"/>
      <c r="C2" s="62"/>
      <c r="D2" s="62"/>
      <c r="E2" s="62"/>
      <c r="F2" s="61"/>
      <c r="G2" s="61"/>
    </row>
    <row r="3" spans="1:5">
      <c r="A3" s="29" t="s">
        <v>53</v>
      </c>
      <c r="B3" s="29" t="s">
        <v>54</v>
      </c>
      <c r="C3" s="29" t="s">
        <v>55</v>
      </c>
      <c r="D3" s="29" t="s">
        <v>56</v>
      </c>
      <c r="E3" s="29" t="s">
        <v>31</v>
      </c>
    </row>
    <row r="4" spans="1:5">
      <c r="A4" s="63">
        <v>176284.795675149</v>
      </c>
      <c r="B4" s="64">
        <v>0.24</v>
      </c>
      <c r="C4" s="3">
        <v>12</v>
      </c>
      <c r="D4" s="63">
        <v>0</v>
      </c>
      <c r="E4" s="14">
        <f>A4*B4/C4*D4</f>
        <v>0</v>
      </c>
    </row>
    <row r="5" spans="1:5">
      <c r="A5" s="63">
        <v>111503.15</v>
      </c>
      <c r="B5" s="64">
        <v>0.17</v>
      </c>
      <c r="C5" s="3">
        <v>12</v>
      </c>
      <c r="D5" s="63">
        <v>5</v>
      </c>
      <c r="E5" s="14">
        <f>A5*B5/C5*D5</f>
        <v>7898.13979166667</v>
      </c>
    </row>
    <row r="7" spans="2:2">
      <c r="B7" s="65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workbookViewId="0">
      <selection activeCell="A28" sqref="A28:F35"/>
    </sheetView>
  </sheetViews>
  <sheetFormatPr defaultColWidth="9" defaultRowHeight="14.4"/>
  <cols>
    <col min="1" max="1" width="10.8796296296296" style="6" customWidth="1"/>
    <col min="2" max="2" width="10.3796296296296" style="6"/>
    <col min="3" max="3" width="11.6296296296296" style="6" customWidth="1"/>
    <col min="4" max="4" width="10.3796296296296" style="6"/>
    <col min="5" max="5" width="16.25" style="7" customWidth="1"/>
    <col min="6" max="6" width="12.6296296296296" style="8" customWidth="1"/>
    <col min="7" max="7" width="12.75" style="8" customWidth="1"/>
    <col min="8" max="8" width="14.1296296296296" style="6"/>
    <col min="9" max="9" width="9.37962962962963" style="6"/>
    <col min="10" max="10" width="10" style="6" customWidth="1"/>
    <col min="11" max="11" width="20.1296296296296" style="6" customWidth="1"/>
    <col min="12" max="12" width="12.5" style="6" customWidth="1"/>
    <col min="13" max="13" width="9" style="6"/>
    <col min="14" max="14" width="12.6296296296296" style="6"/>
    <col min="15" max="16374" width="9" style="6"/>
  </cols>
  <sheetData>
    <row r="1" ht="31.5" customHeight="1" spans="1:12">
      <c r="A1" s="9"/>
      <c r="B1" s="10" t="s">
        <v>34</v>
      </c>
      <c r="C1" s="10" t="s">
        <v>57</v>
      </c>
      <c r="D1" s="10" t="s">
        <v>58</v>
      </c>
      <c r="E1" s="11" t="s">
        <v>59</v>
      </c>
      <c r="F1" s="12" t="s">
        <v>60</v>
      </c>
      <c r="G1" s="12" t="s">
        <v>61</v>
      </c>
      <c r="H1" s="10" t="s">
        <v>62</v>
      </c>
      <c r="I1" s="10" t="s">
        <v>63</v>
      </c>
      <c r="J1" s="10" t="s">
        <v>64</v>
      </c>
      <c r="K1" s="10" t="s">
        <v>47</v>
      </c>
      <c r="L1" s="48" t="s">
        <v>65</v>
      </c>
    </row>
    <row r="2" spans="1:12">
      <c r="A2" s="13" t="s">
        <v>66</v>
      </c>
      <c r="B2" s="3">
        <f>客户方案计算表!E4*36</f>
        <v>232200</v>
      </c>
      <c r="C2" s="3">
        <f>客户方案计算表!B4</f>
        <v>150000</v>
      </c>
      <c r="D2" s="3">
        <v>36</v>
      </c>
      <c r="E2" s="14">
        <f>客户方案计算表!E4</f>
        <v>6450</v>
      </c>
      <c r="F2" s="15">
        <v>10</v>
      </c>
      <c r="G2" s="15">
        <v>22</v>
      </c>
      <c r="H2" s="3">
        <v>11</v>
      </c>
      <c r="I2" s="3">
        <v>21</v>
      </c>
      <c r="J2" s="3">
        <v>4</v>
      </c>
      <c r="K2" s="14">
        <f>客户方案计算表!F41</f>
        <v>26503.6626429671</v>
      </c>
      <c r="L2" s="49">
        <f>B2-C2-客户方案计算表!D41</f>
        <v>54997.2029660483</v>
      </c>
    </row>
    <row r="3" spans="1:12">
      <c r="A3" s="13"/>
      <c r="B3" s="3"/>
      <c r="C3" s="3"/>
      <c r="D3" s="3"/>
      <c r="E3" s="14"/>
      <c r="F3" s="15"/>
      <c r="G3" s="15">
        <f>D3-F3</f>
        <v>0</v>
      </c>
      <c r="H3" s="3"/>
      <c r="I3" s="3">
        <f>D3-H3</f>
        <v>0</v>
      </c>
      <c r="J3" s="3"/>
      <c r="K3" s="3"/>
      <c r="L3" s="50"/>
    </row>
    <row r="4" ht="15.15" spans="1:12">
      <c r="A4" s="16" t="s">
        <v>67</v>
      </c>
      <c r="B4" s="17">
        <f>客户方案计算表!E4*36</f>
        <v>232200</v>
      </c>
      <c r="C4" s="17">
        <f>客户方案计算表!B4</f>
        <v>150000</v>
      </c>
      <c r="D4" s="17">
        <v>36</v>
      </c>
      <c r="E4" s="18">
        <f>客户方案计算表!E4</f>
        <v>6450</v>
      </c>
      <c r="F4" s="19">
        <v>10</v>
      </c>
      <c r="G4" s="19">
        <v>22</v>
      </c>
      <c r="H4" s="17">
        <v>11</v>
      </c>
      <c r="I4" s="17">
        <v>21</v>
      </c>
      <c r="J4" s="17">
        <v>4</v>
      </c>
      <c r="K4" s="18">
        <f>客户方案计算表!F41</f>
        <v>26503.6626429671</v>
      </c>
      <c r="L4" s="51">
        <f>B4-C4-客户方案计算表!D41-客户方案计算表!J41</f>
        <v>55696.3373570329</v>
      </c>
    </row>
    <row r="5" spans="1:12">
      <c r="A5" s="20"/>
      <c r="B5" s="21"/>
      <c r="C5" s="21"/>
      <c r="D5" s="21"/>
      <c r="E5" s="22"/>
      <c r="F5" s="23"/>
      <c r="G5" s="23"/>
      <c r="H5" s="21"/>
      <c r="I5" s="21"/>
      <c r="J5" s="21"/>
      <c r="K5" s="22"/>
      <c r="L5" s="52"/>
    </row>
    <row r="6" spans="1:12">
      <c r="A6" s="24"/>
      <c r="B6" s="25"/>
      <c r="C6" s="25"/>
      <c r="D6" s="25"/>
      <c r="E6" s="26"/>
      <c r="F6" s="27"/>
      <c r="G6" s="27"/>
      <c r="H6" s="25"/>
      <c r="I6" s="25"/>
      <c r="J6" s="25"/>
      <c r="K6" s="26"/>
      <c r="L6" s="53"/>
    </row>
    <row r="7" spans="1:12">
      <c r="A7" s="24"/>
      <c r="B7" s="25"/>
      <c r="C7" s="25"/>
      <c r="D7" s="25"/>
      <c r="E7" s="26"/>
      <c r="F7" s="27"/>
      <c r="G7" s="27"/>
      <c r="H7" s="25"/>
      <c r="I7" s="25"/>
      <c r="J7" s="25"/>
      <c r="K7" s="26"/>
      <c r="L7" s="53"/>
    </row>
    <row r="8" ht="35" customHeight="1" spans="1:12">
      <c r="A8" s="28"/>
      <c r="B8" s="3"/>
      <c r="C8" s="3"/>
      <c r="D8" s="3"/>
      <c r="E8" s="14"/>
      <c r="F8" s="15"/>
      <c r="G8" s="15"/>
      <c r="H8" s="3"/>
      <c r="I8" s="14"/>
      <c r="J8" s="3"/>
      <c r="K8" s="54"/>
      <c r="L8" s="14"/>
    </row>
    <row r="9" spans="1:12">
      <c r="A9" s="29"/>
      <c r="B9" s="3"/>
      <c r="C9" s="3"/>
      <c r="D9" s="3"/>
      <c r="E9" s="14"/>
      <c r="F9" s="15"/>
      <c r="G9" s="15"/>
      <c r="H9" s="3"/>
      <c r="I9" s="3"/>
      <c r="J9" s="3"/>
      <c r="K9" s="14"/>
      <c r="L9" s="14"/>
    </row>
    <row r="10" spans="1:12">
      <c r="A10" s="30"/>
      <c r="B10" s="3"/>
      <c r="C10" s="3"/>
      <c r="D10" s="3"/>
      <c r="E10" s="14"/>
      <c r="F10" s="15"/>
      <c r="G10" s="15"/>
      <c r="H10" s="3"/>
      <c r="I10" s="3"/>
      <c r="J10" s="3"/>
      <c r="K10" s="14"/>
      <c r="L10" s="14"/>
    </row>
    <row r="11" spans="1:12">
      <c r="A11" s="30"/>
      <c r="B11" s="3"/>
      <c r="C11" s="3"/>
      <c r="D11" s="3"/>
      <c r="E11" s="14"/>
      <c r="F11" s="15"/>
      <c r="G11" s="15"/>
      <c r="H11" s="3"/>
      <c r="I11" s="3"/>
      <c r="J11" s="3"/>
      <c r="K11" s="14"/>
      <c r="L11" s="14"/>
    </row>
    <row r="12" spans="1:12">
      <c r="A12" s="29"/>
      <c r="B12" s="3"/>
      <c r="C12" s="3"/>
      <c r="D12" s="3"/>
      <c r="E12" s="14"/>
      <c r="F12" s="15"/>
      <c r="G12" s="15"/>
      <c r="H12" s="3"/>
      <c r="I12" s="3"/>
      <c r="J12" s="3"/>
      <c r="K12" s="14"/>
      <c r="L12" s="14"/>
    </row>
    <row r="13" spans="1:12">
      <c r="A13" s="29"/>
      <c r="B13" s="3"/>
      <c r="C13" s="3"/>
      <c r="D13" s="3"/>
      <c r="E13" s="14"/>
      <c r="F13" s="15"/>
      <c r="G13" s="15"/>
      <c r="H13" s="3"/>
      <c r="I13" s="3"/>
      <c r="J13" s="3"/>
      <c r="K13" s="14"/>
      <c r="L13" s="14"/>
    </row>
    <row r="14" spans="1:12">
      <c r="A14" s="29"/>
      <c r="B14" s="3"/>
      <c r="C14" s="3"/>
      <c r="D14" s="3"/>
      <c r="E14" s="14"/>
      <c r="F14" s="15"/>
      <c r="G14" s="15"/>
      <c r="H14" s="3"/>
      <c r="I14" s="3"/>
      <c r="J14" s="3"/>
      <c r="K14" s="14"/>
      <c r="L14" s="14"/>
    </row>
    <row r="15" spans="1:12">
      <c r="A15" s="29"/>
      <c r="B15" s="3"/>
      <c r="C15" s="3"/>
      <c r="D15" s="3"/>
      <c r="E15" s="14"/>
      <c r="F15" s="15"/>
      <c r="G15" s="15"/>
      <c r="H15" s="3"/>
      <c r="I15" s="14"/>
      <c r="J15" s="3"/>
      <c r="K15" s="14"/>
      <c r="L15" s="14"/>
    </row>
    <row r="16" spans="1:12">
      <c r="A16" s="29"/>
      <c r="B16" s="3"/>
      <c r="C16" s="3"/>
      <c r="D16" s="3"/>
      <c r="E16" s="14"/>
      <c r="F16" s="15"/>
      <c r="G16" s="15"/>
      <c r="H16" s="3"/>
      <c r="I16" s="14"/>
      <c r="J16" s="3"/>
      <c r="K16" s="14"/>
      <c r="L16" s="14"/>
    </row>
    <row r="17" spans="1:12">
      <c r="A17" s="29"/>
      <c r="B17" s="3"/>
      <c r="C17" s="3"/>
      <c r="D17" s="3"/>
      <c r="E17" s="14"/>
      <c r="F17" s="15"/>
      <c r="G17" s="15"/>
      <c r="H17" s="3"/>
      <c r="I17" s="14"/>
      <c r="J17" s="3"/>
      <c r="K17" s="14"/>
      <c r="L17" s="14"/>
    </row>
    <row r="18" spans="1:12">
      <c r="A18" s="29"/>
      <c r="B18" s="3"/>
      <c r="C18" s="3"/>
      <c r="D18" s="3"/>
      <c r="E18" s="14"/>
      <c r="F18" s="15"/>
      <c r="G18" s="15"/>
      <c r="H18" s="3"/>
      <c r="I18" s="14"/>
      <c r="J18" s="3"/>
      <c r="K18" s="14"/>
      <c r="L18" s="14"/>
    </row>
    <row r="19" spans="1:12">
      <c r="A19" s="29"/>
      <c r="B19" s="3"/>
      <c r="C19" s="3"/>
      <c r="D19" s="3"/>
      <c r="E19" s="14"/>
      <c r="F19" s="15"/>
      <c r="G19" s="15"/>
      <c r="H19" s="3"/>
      <c r="I19" s="14"/>
      <c r="J19" s="3"/>
      <c r="K19" s="14"/>
      <c r="L19" s="14"/>
    </row>
    <row r="20" spans="1:12">
      <c r="A20" s="3"/>
      <c r="B20" s="3"/>
      <c r="C20" s="3"/>
      <c r="D20" s="3"/>
      <c r="E20" s="14"/>
      <c r="F20" s="31"/>
      <c r="G20" s="31"/>
      <c r="H20" s="3"/>
      <c r="I20" s="14"/>
      <c r="J20" s="3"/>
      <c r="K20" s="3"/>
      <c r="L20" s="14"/>
    </row>
    <row r="21" spans="1:13">
      <c r="A21" s="32" t="s">
        <v>68</v>
      </c>
      <c r="B21" s="33"/>
      <c r="C21" s="33"/>
      <c r="D21" s="33"/>
      <c r="E21" s="33"/>
      <c r="F21" s="33"/>
      <c r="G21" s="33"/>
      <c r="H21" s="33"/>
      <c r="I21" s="33"/>
      <c r="J21" s="55"/>
      <c r="K21" s="56"/>
      <c r="L21" s="56"/>
      <c r="M21" s="57"/>
    </row>
    <row r="22" spans="1:13">
      <c r="A22" s="34"/>
      <c r="B22" s="35"/>
      <c r="C22" s="35"/>
      <c r="D22" s="35"/>
      <c r="E22" s="35"/>
      <c r="F22" s="35"/>
      <c r="G22" s="35"/>
      <c r="H22" s="35"/>
      <c r="I22" s="35"/>
      <c r="J22" s="58"/>
      <c r="K22" s="56"/>
      <c r="L22" s="56"/>
      <c r="M22" s="57"/>
    </row>
    <row r="23" spans="1:13">
      <c r="A23" s="34"/>
      <c r="B23" s="35"/>
      <c r="C23" s="35"/>
      <c r="D23" s="35"/>
      <c r="E23" s="35"/>
      <c r="F23" s="35"/>
      <c r="G23" s="35"/>
      <c r="H23" s="35"/>
      <c r="I23" s="35"/>
      <c r="J23" s="58"/>
      <c r="K23" s="56"/>
      <c r="L23" s="56"/>
      <c r="M23" s="57"/>
    </row>
    <row r="24" spans="1:13">
      <c r="A24" s="34"/>
      <c r="B24" s="35"/>
      <c r="C24" s="35"/>
      <c r="D24" s="35"/>
      <c r="E24" s="35"/>
      <c r="F24" s="35"/>
      <c r="G24" s="35"/>
      <c r="H24" s="35"/>
      <c r="I24" s="35"/>
      <c r="J24" s="58"/>
      <c r="K24" s="56"/>
      <c r="L24" s="56"/>
      <c r="M24" s="57"/>
    </row>
    <row r="25" spans="1:13">
      <c r="A25" s="34"/>
      <c r="B25" s="35"/>
      <c r="C25" s="35"/>
      <c r="D25" s="35"/>
      <c r="E25" s="35"/>
      <c r="F25" s="35"/>
      <c r="G25" s="35"/>
      <c r="H25" s="35"/>
      <c r="I25" s="35"/>
      <c r="J25" s="58"/>
      <c r="K25" s="56"/>
      <c r="L25" s="56"/>
      <c r="M25" s="57"/>
    </row>
    <row r="26" ht="93" customHeight="1" spans="1:13">
      <c r="A26" s="36"/>
      <c r="B26" s="37"/>
      <c r="C26" s="37"/>
      <c r="D26" s="37"/>
      <c r="E26" s="37"/>
      <c r="F26" s="37"/>
      <c r="G26" s="37"/>
      <c r="H26" s="37"/>
      <c r="I26" s="37"/>
      <c r="J26" s="59"/>
      <c r="K26" s="56"/>
      <c r="L26" s="56"/>
      <c r="M26" s="57"/>
    </row>
    <row r="28" spans="1:12">
      <c r="A28" s="38" t="s">
        <v>69</v>
      </c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</row>
    <row r="29" spans="1:12">
      <c r="A29" s="42"/>
      <c r="B29" s="43"/>
      <c r="C29" s="43"/>
      <c r="D29" s="43"/>
      <c r="E29" s="43"/>
      <c r="F29" s="44"/>
      <c r="G29" s="41"/>
      <c r="H29" s="41"/>
      <c r="I29" s="41"/>
      <c r="J29" s="41"/>
      <c r="K29" s="41"/>
      <c r="L29" s="41"/>
    </row>
    <row r="30" spans="1:12">
      <c r="A30" s="42"/>
      <c r="B30" s="43"/>
      <c r="C30" s="43"/>
      <c r="D30" s="43"/>
      <c r="E30" s="43"/>
      <c r="F30" s="44"/>
      <c r="G30" s="41">
        <f>客户方案计算表!E4*36</f>
        <v>232200</v>
      </c>
      <c r="H30" s="41">
        <f>G30-G31-G32-G33</f>
        <v>29072.6034560412</v>
      </c>
      <c r="I30" s="41"/>
      <c r="J30" s="41"/>
      <c r="K30" s="41"/>
      <c r="L30" s="41"/>
    </row>
    <row r="31" spans="1:12">
      <c r="A31" s="42"/>
      <c r="B31" s="43"/>
      <c r="C31" s="43"/>
      <c r="D31" s="43"/>
      <c r="E31" s="43"/>
      <c r="F31" s="44"/>
      <c r="G31" s="41">
        <f>客户方案计算表!E4*30</f>
        <v>193500</v>
      </c>
      <c r="H31" s="41"/>
      <c r="I31" s="41"/>
      <c r="J31" s="41"/>
      <c r="K31" s="41"/>
      <c r="L31" s="41"/>
    </row>
    <row r="32" spans="1:12">
      <c r="A32" s="42"/>
      <c r="B32" s="43"/>
      <c r="C32" s="43"/>
      <c r="D32" s="43"/>
      <c r="E32" s="43"/>
      <c r="F32" s="44"/>
      <c r="G32" s="41">
        <f>客户方案计算表!H8</f>
        <v>9440.39654395881</v>
      </c>
      <c r="H32" s="41"/>
      <c r="I32" s="41"/>
      <c r="J32" s="41"/>
      <c r="K32" s="41"/>
      <c r="L32" s="41"/>
    </row>
    <row r="33" spans="1:12">
      <c r="A33" s="42"/>
      <c r="B33" s="43"/>
      <c r="C33" s="43"/>
      <c r="D33" s="43"/>
      <c r="E33" s="43"/>
      <c r="F33" s="44"/>
      <c r="G33" s="41">
        <v>187</v>
      </c>
      <c r="H33" s="41"/>
      <c r="I33" s="41"/>
      <c r="J33" s="41"/>
      <c r="K33" s="41"/>
      <c r="L33" s="41"/>
    </row>
    <row r="34" spans="1:12">
      <c r="A34" s="42"/>
      <c r="B34" s="43"/>
      <c r="C34" s="43"/>
      <c r="D34" s="43"/>
      <c r="E34" s="43"/>
      <c r="F34" s="44"/>
      <c r="G34" s="41"/>
      <c r="H34" s="41"/>
      <c r="I34" s="41"/>
      <c r="J34" s="41"/>
      <c r="K34" s="41"/>
      <c r="L34" s="41"/>
    </row>
    <row r="35" spans="1:12">
      <c r="A35" s="45"/>
      <c r="B35" s="46"/>
      <c r="C35" s="46"/>
      <c r="D35" s="46"/>
      <c r="E35" s="46"/>
      <c r="F35" s="47"/>
      <c r="G35" s="41"/>
      <c r="H35" s="41"/>
      <c r="I35" s="41"/>
      <c r="J35" s="41"/>
      <c r="K35" s="41"/>
      <c r="L35" s="41"/>
    </row>
    <row r="37" spans="1:12">
      <c r="A37" s="38" t="s">
        <v>70</v>
      </c>
      <c r="B37" s="39"/>
      <c r="C37" s="39"/>
      <c r="D37" s="39"/>
      <c r="E37" s="39"/>
      <c r="F37" s="40"/>
      <c r="G37" s="41"/>
      <c r="H37" s="41"/>
      <c r="I37" s="41"/>
      <c r="J37" s="41"/>
      <c r="K37" s="41"/>
      <c r="L37" s="41"/>
    </row>
    <row r="38" spans="1:12">
      <c r="A38" s="42"/>
      <c r="B38" s="43"/>
      <c r="C38" s="43"/>
      <c r="D38" s="43"/>
      <c r="E38" s="43"/>
      <c r="F38" s="44"/>
      <c r="G38" s="41"/>
      <c r="H38" s="41"/>
      <c r="I38" s="41"/>
      <c r="J38" s="41"/>
      <c r="K38" s="41"/>
      <c r="L38" s="41"/>
    </row>
    <row r="39" spans="1:12">
      <c r="A39" s="42"/>
      <c r="B39" s="43"/>
      <c r="C39" s="43"/>
      <c r="D39" s="43"/>
      <c r="E39" s="43"/>
      <c r="F39" s="44"/>
      <c r="G39" s="41"/>
      <c r="H39" s="41"/>
      <c r="I39" s="41"/>
      <c r="J39" s="41"/>
      <c r="K39" s="41"/>
      <c r="L39" s="41"/>
    </row>
    <row r="40" spans="1:12">
      <c r="A40" s="42"/>
      <c r="B40" s="43"/>
      <c r="C40" s="43"/>
      <c r="D40" s="43"/>
      <c r="E40" s="43"/>
      <c r="F40" s="44"/>
      <c r="G40" s="41"/>
      <c r="H40" s="41"/>
      <c r="I40" s="41"/>
      <c r="J40" s="41"/>
      <c r="K40" s="41"/>
      <c r="L40" s="41"/>
    </row>
    <row r="41" spans="1:12">
      <c r="A41" s="42"/>
      <c r="B41" s="43"/>
      <c r="C41" s="43"/>
      <c r="D41" s="43"/>
      <c r="E41" s="43"/>
      <c r="F41" s="44"/>
      <c r="G41" s="41"/>
      <c r="H41" s="41"/>
      <c r="I41" s="41"/>
      <c r="J41" s="41"/>
      <c r="K41" s="41"/>
      <c r="L41" s="41"/>
    </row>
    <row r="42" spans="1:12">
      <c r="A42" s="42"/>
      <c r="B42" s="43"/>
      <c r="C42" s="43"/>
      <c r="D42" s="43"/>
      <c r="E42" s="43"/>
      <c r="F42" s="44"/>
      <c r="G42" s="41"/>
      <c r="H42" s="41"/>
      <c r="I42" s="41"/>
      <c r="J42" s="41"/>
      <c r="K42" s="41"/>
      <c r="L42" s="41"/>
    </row>
    <row r="43" ht="33" customHeight="1" spans="1:12">
      <c r="A43" s="45"/>
      <c r="B43" s="46"/>
      <c r="C43" s="46"/>
      <c r="D43" s="46"/>
      <c r="E43" s="46"/>
      <c r="F43" s="47"/>
      <c r="G43" s="41"/>
      <c r="H43" s="41"/>
      <c r="I43" s="41"/>
      <c r="J43" s="41"/>
      <c r="K43" s="41"/>
      <c r="L43" s="41"/>
    </row>
  </sheetData>
  <mergeCells count="4">
    <mergeCell ref="M21:M26"/>
    <mergeCell ref="A28:F35"/>
    <mergeCell ref="A37:F43"/>
    <mergeCell ref="A21:J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4.4" outlineLevelRow="4"/>
  <cols>
    <col min="7" max="7" width="12.6296296296296"/>
    <col min="10" max="10" width="9.12962962962963"/>
  </cols>
  <sheetData>
    <row r="3" ht="28.8" spans="6:11">
      <c r="F3" s="1" t="s">
        <v>71</v>
      </c>
      <c r="G3" s="1" t="s">
        <v>72</v>
      </c>
      <c r="H3" s="2" t="s">
        <v>73</v>
      </c>
      <c r="I3" s="1" t="s">
        <v>62</v>
      </c>
      <c r="J3" s="1" t="s">
        <v>74</v>
      </c>
      <c r="K3" s="4" t="s">
        <v>56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2021-01-27T15:37:30Z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