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531" windowHeight="14195"/>
  </bookViews>
  <sheets>
    <sheet name="客户方案计算表" sheetId="1" r:id="rId1"/>
    <sheet name="逾期利息" sheetId="2" r:id="rId2"/>
    <sheet name="减免计算" sheetId="3" r:id="rId3"/>
    <sheet name="Sheet1" sheetId="4" r:id="rId4"/>
  </sheets>
  <calcPr calcId="144525"/>
</workbook>
</file>

<file path=xl/sharedStrings.xml><?xml version="1.0" encoding="utf-8"?>
<sst xmlns="http://schemas.openxmlformats.org/spreadsheetml/2006/main" count="93" uniqueCount="74">
  <si>
    <t>2020.8.19日及之前的利率核算表</t>
  </si>
  <si>
    <t>2020.8.20日及之后的利率核算表</t>
  </si>
  <si>
    <t>使用说明</t>
  </si>
  <si>
    <t>手动填写第一行数据</t>
  </si>
  <si>
    <r>
      <rPr>
        <b/>
        <sz val="11"/>
        <color theme="1"/>
        <rFont val="宋体"/>
        <charset val="134"/>
        <scheme val="minor"/>
      </rPr>
      <t xml:space="preserve">还款期数为2020.8.19日及之前期数
</t>
    </r>
    <r>
      <rPr>
        <sz val="10"/>
        <color rgb="FFFF0000"/>
        <rFont val="宋体"/>
        <charset val="134"/>
        <scheme val="minor"/>
      </rPr>
      <t>此列需要手动填写</t>
    </r>
  </si>
  <si>
    <r>
      <rPr>
        <b/>
        <sz val="11"/>
        <color theme="1"/>
        <rFont val="宋体"/>
        <charset val="134"/>
        <scheme val="minor"/>
      </rPr>
      <t>计息本金*</t>
    </r>
    <r>
      <rPr>
        <b/>
        <sz val="11"/>
        <color theme="1"/>
        <rFont val="宋体"/>
        <charset val="134"/>
        <scheme val="minor"/>
      </rPr>
      <t>24</t>
    </r>
    <r>
      <rPr>
        <b/>
        <sz val="11"/>
        <color theme="1"/>
        <rFont val="宋体"/>
        <charset val="134"/>
        <scheme val="minor"/>
      </rPr>
      <t xml:space="preserve">%/12
</t>
    </r>
    <r>
      <rPr>
        <b/>
        <sz val="11"/>
        <color rgb="FFFF0000"/>
        <rFont val="宋体"/>
        <charset val="134"/>
        <scheme val="minor"/>
      </rPr>
      <t>此列为公式,不要修改</t>
    </r>
  </si>
  <si>
    <r>
      <rPr>
        <b/>
        <sz val="11"/>
        <color theme="1"/>
        <rFont val="宋体"/>
        <charset val="134"/>
        <scheme val="minor"/>
      </rPr>
      <t xml:space="preserve">与签订合同保持一致
</t>
    </r>
    <r>
      <rPr>
        <sz val="10"/>
        <color rgb="FFFF0000"/>
        <rFont val="宋体"/>
        <charset val="134"/>
        <scheme val="minor"/>
      </rPr>
      <t>此列第一格需要手动填写</t>
    </r>
  </si>
  <si>
    <t>此列为公式
不要修改</t>
  </si>
  <si>
    <r>
      <rPr>
        <b/>
        <sz val="11"/>
        <color theme="1"/>
        <rFont val="宋体"/>
        <charset val="134"/>
        <scheme val="minor"/>
      </rPr>
      <t xml:space="preserve">还款期数为2020.8.20日及之后的期数
</t>
    </r>
    <r>
      <rPr>
        <sz val="10"/>
        <color rgb="FFFF0000"/>
        <rFont val="宋体"/>
        <charset val="134"/>
        <scheme val="minor"/>
      </rPr>
      <t>此列需要手动填写</t>
    </r>
  </si>
  <si>
    <r>
      <rPr>
        <b/>
        <sz val="11"/>
        <color theme="1"/>
        <rFont val="宋体"/>
        <charset val="134"/>
        <scheme val="minor"/>
      </rPr>
      <t xml:space="preserve">计息本金*17%/12
</t>
    </r>
    <r>
      <rPr>
        <b/>
        <sz val="11"/>
        <color rgb="FFFF0000"/>
        <rFont val="宋体"/>
        <charset val="134"/>
        <scheme val="minor"/>
      </rPr>
      <t>此列为公式,不要修改</t>
    </r>
  </si>
  <si>
    <t>计息本金</t>
  </si>
  <si>
    <t>还款期数
（合同）</t>
  </si>
  <si>
    <t>每月应还利息金额</t>
  </si>
  <si>
    <t>每月还款金额</t>
  </si>
  <si>
    <t>每月应抵本金</t>
  </si>
  <si>
    <t>数值对应关系</t>
  </si>
  <si>
    <t>解释</t>
  </si>
  <si>
    <t>计息本金=客户实际到账本金，不包含砍头息</t>
  </si>
  <si>
    <r>
      <rPr>
        <sz val="11"/>
        <color theme="1"/>
        <rFont val="宋体"/>
        <charset val="134"/>
        <scheme val="minor"/>
      </rPr>
      <t>每月应还利息=计息本金*1</t>
    </r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%/12</t>
    </r>
  </si>
  <si>
    <r>
      <rPr>
        <sz val="11"/>
        <color theme="1"/>
        <rFont val="宋体"/>
        <charset val="134"/>
        <scheme val="minor"/>
      </rPr>
      <t>每个月客户按1</t>
    </r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%应该还的利息</t>
    </r>
  </si>
  <si>
    <t>每月还款金额=合同约定还款金额</t>
  </si>
  <si>
    <t>每月应抵本金=还款金额-应还利息金额</t>
  </si>
  <si>
    <t>第二期计息本金=客户实际到账本金-应抵本金</t>
  </si>
  <si>
    <r>
      <rPr>
        <sz val="11"/>
        <color theme="1"/>
        <rFont val="宋体"/>
        <charset val="134"/>
        <scheme val="minor"/>
      </rPr>
      <t>逾期利息=剩余本金*1</t>
    </r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%/12*逾期期数</t>
    </r>
  </si>
  <si>
    <t>这个利息直到客户清偿之日为止</t>
  </si>
  <si>
    <r>
      <rPr>
        <sz val="11"/>
        <color theme="1"/>
        <rFont val="宋体"/>
        <charset val="134"/>
        <scheme val="minor"/>
      </rPr>
      <t>客户年化率，按</t>
    </r>
    <r>
      <rPr>
        <b/>
        <sz val="11"/>
        <color rgb="FFFF0000"/>
        <rFont val="宋体"/>
        <charset val="134"/>
        <scheme val="minor"/>
      </rPr>
      <t>鲸算师APP</t>
    </r>
    <r>
      <rPr>
        <sz val="11"/>
        <color theme="1"/>
        <rFont val="宋体"/>
        <charset val="134"/>
        <scheme val="minor"/>
      </rPr>
      <t>进行计算，进入APP后选择贷款利率</t>
    </r>
  </si>
  <si>
    <t>借款总额</t>
  </si>
  <si>
    <t>客户实际到账金额</t>
  </si>
  <si>
    <t>在进行计算时，需要了解客户合同签订时间、还款期数。从签订合同之日起至2020.8.20日，每期年化率按24%核算，2020.8.20日至还款结清月份，每期年化率按17%核算。
表格一测算的是从客户签订合同之日起至2020.8.20日，每期年化率按24%核算的结果；表格二测算的是客户从2020.8.20日至还款结清月份，每期年化率按17%核算的结果</t>
  </si>
  <si>
    <t>已付利息：</t>
  </si>
  <si>
    <t>未付利息：</t>
  </si>
  <si>
    <t>逾期利息</t>
  </si>
  <si>
    <t>最大减免=合同总金额-本金-已还利息-逾期利息</t>
  </si>
  <si>
    <t>最小减免=合同总金额-本金-全部法定利息-逾期利息</t>
  </si>
  <si>
    <t>合同金额</t>
  </si>
  <si>
    <t>已还金额</t>
  </si>
  <si>
    <t>本金</t>
  </si>
  <si>
    <t>合同未还金额</t>
  </si>
  <si>
    <t>已还利息</t>
  </si>
  <si>
    <t>逾期4期</t>
  </si>
  <si>
    <t>全部法定利息</t>
  </si>
  <si>
    <t>负数不算</t>
  </si>
  <si>
    <t>最大减免金额</t>
  </si>
  <si>
    <t>最小还款金额</t>
  </si>
  <si>
    <t>最后一次还款日</t>
  </si>
  <si>
    <t>最大减免</t>
  </si>
  <si>
    <t>最小减免</t>
  </si>
  <si>
    <t>应付利息</t>
  </si>
  <si>
    <t xml:space="preserve">客户刘红梅情况说明：实际到账金额62000  分期45  每期金额2528.68   已还18期    每月22号还款   最后一次还款2020.9.22 </t>
  </si>
  <si>
    <t>逾期利息=剩余本金*24%/12*逾期期数</t>
  </si>
  <si>
    <t>绿色为手工填写</t>
  </si>
  <si>
    <r>
      <rPr>
        <b/>
        <sz val="11"/>
        <color theme="1"/>
        <rFont val="宋体"/>
        <charset val="134"/>
        <scheme val="minor"/>
      </rPr>
      <t>逾期利息=剩余本金*17</t>
    </r>
    <r>
      <rPr>
        <b/>
        <sz val="11"/>
        <color theme="1"/>
        <rFont val="宋体"/>
        <charset val="134"/>
        <scheme val="minor"/>
      </rPr>
      <t>%/12*逾期期数</t>
    </r>
  </si>
  <si>
    <t>剩余本金</t>
  </si>
  <si>
    <t>利率</t>
  </si>
  <si>
    <t>12个月</t>
  </si>
  <si>
    <t>逾期期数</t>
  </si>
  <si>
    <t>实际到账</t>
  </si>
  <si>
    <t>分期总数</t>
  </si>
  <si>
    <t>每期金额</t>
  </si>
  <si>
    <t>2020.8.19及之前期数</t>
  </si>
  <si>
    <t>2020.8.20及之后期数</t>
  </si>
  <si>
    <t>已还期数</t>
  </si>
  <si>
    <t>未还期数</t>
  </si>
  <si>
    <t>逾期</t>
  </si>
  <si>
    <t>结果</t>
  </si>
  <si>
    <t>减免最大值</t>
  </si>
  <si>
    <t>减免最小值</t>
  </si>
  <si>
    <t>计算逻辑：
最大减免=合同金额-到账金额-应付利息
合同金额=每期还款*总期数
应付利息=到账金额*24%*（合同签订日期至2020年8月20日的期数）+到账金额*17*（2020年8月20日至客户最后一次还款那个月的期数）
最小减免=合同金额-到账金额-应付利息
应付利息=到账金额*24%*（合同签订日期至2020年8月20日的期数）+到账金额*17*（36-（合同签订日期至2020年8月20日的期数））</t>
  </si>
  <si>
    <t>最大减免=合同金额-已还金额-核算后剩余本金
合同金额=每期还款*总期数
已还金额=每期还款*还款期数
剩余本金=实际到账金额-应付利息-冲销本金
应付利息=到账金额（剩余本金）*24%/12
剩余本金需要逐笔核减计算得出</t>
  </si>
  <si>
    <t>最小减免=合同金额-已还金额-核算后剩余本金-剩余法定利息
合同金额=每期还款*总期数
已还金额=每期还款*还款期数
剩余本金=实际到账金额-应付利息-冲销本金
应付利息=到账金额（剩余本金）*24%/12
剩余本金需要逐笔核减计算得出
剩余法定利息=剩余本金*17%/12*剩余期数
剩余本金需要逐笔核减计算得出</t>
  </si>
  <si>
    <t>借款金额</t>
  </si>
  <si>
    <t>分期期数</t>
  </si>
  <si>
    <t>每期还款金额</t>
  </si>
  <si>
    <t>最后一笔还款时间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</si>
</sst>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.00_ "/>
    <numFmt numFmtId="177" formatCode="0_ "/>
    <numFmt numFmtId="178" formatCode="0.0_ "/>
    <numFmt numFmtId="179" formatCode="0.00;[Red]0.00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0"/>
      <color rgb="FFFF00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3" fillId="13" borderId="3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4" borderId="38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36" applyNumberFormat="0" applyFill="0" applyAlignment="0" applyProtection="0">
      <alignment vertical="center"/>
    </xf>
    <xf numFmtId="0" fontId="10" fillId="0" borderId="36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0" borderId="40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5" fillId="16" borderId="39" applyNumberFormat="0" applyAlignment="0" applyProtection="0">
      <alignment vertical="center"/>
    </xf>
    <xf numFmtId="0" fontId="21" fillId="16" borderId="37" applyNumberFormat="0" applyAlignment="0" applyProtection="0">
      <alignment vertical="center"/>
    </xf>
    <xf numFmtId="0" fontId="22" fillId="26" borderId="42" applyNumberFormat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3" fillId="0" borderId="43" applyNumberFormat="0" applyFill="0" applyAlignment="0" applyProtection="0">
      <alignment vertical="center"/>
    </xf>
    <xf numFmtId="0" fontId="20" fillId="0" borderId="41" applyNumberFormat="0" applyFill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</cellStyleXfs>
  <cellXfs count="102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58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177" fontId="0" fillId="0" borderId="8" xfId="0" applyNumberForma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177" fontId="0" fillId="0" borderId="10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left" vertical="center" wrapText="1"/>
    </xf>
    <xf numFmtId="0" fontId="0" fillId="2" borderId="12" xfId="0" applyFont="1" applyFill="1" applyBorder="1" applyAlignment="1">
      <alignment horizontal="left" vertical="center" wrapText="1"/>
    </xf>
    <xf numFmtId="0" fontId="0" fillId="2" borderId="13" xfId="0" applyFont="1" applyFill="1" applyBorder="1" applyAlignment="1">
      <alignment horizontal="left" vertical="center" wrapText="1"/>
    </xf>
    <xf numFmtId="0" fontId="0" fillId="2" borderId="0" xfId="0" applyFont="1" applyFill="1" applyAlignment="1">
      <alignment horizontal="left" vertical="center" wrapText="1"/>
    </xf>
    <xf numFmtId="0" fontId="0" fillId="2" borderId="14" xfId="0" applyFont="1" applyFill="1" applyBorder="1" applyAlignment="1">
      <alignment horizontal="left" vertical="center" wrapText="1"/>
    </xf>
    <xf numFmtId="0" fontId="0" fillId="2" borderId="15" xfId="0" applyFont="1" applyFill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center" vertical="center"/>
    </xf>
    <xf numFmtId="176" fontId="0" fillId="0" borderId="20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76" fontId="0" fillId="0" borderId="21" xfId="0" applyNumberFormat="1" applyBorder="1" applyAlignment="1">
      <alignment horizontal="center" vertical="center"/>
    </xf>
    <xf numFmtId="176" fontId="0" fillId="0" borderId="22" xfId="0" applyNumberFormat="1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2" borderId="16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17" xfId="0" applyFont="1" applyFill="1" applyBorder="1" applyAlignment="1">
      <alignment horizontal="left" vertical="center" wrapText="1"/>
    </xf>
    <xf numFmtId="0" fontId="0" fillId="2" borderId="18" xfId="0" applyFont="1" applyFill="1" applyBorder="1" applyAlignment="1">
      <alignment horizontal="left" vertical="center" wrapText="1"/>
    </xf>
    <xf numFmtId="0" fontId="1" fillId="3" borderId="15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 wrapText="1"/>
    </xf>
    <xf numFmtId="176" fontId="0" fillId="0" borderId="15" xfId="0" applyNumberFormat="1" applyFont="1" applyBorder="1" applyAlignment="1">
      <alignment horizontal="center" vertical="center" wrapText="1"/>
    </xf>
    <xf numFmtId="176" fontId="0" fillId="0" borderId="15" xfId="0" applyNumberFormat="1" applyBorder="1" applyAlignment="1">
      <alignment horizontal="center" vertical="center" wrapText="1"/>
    </xf>
    <xf numFmtId="179" fontId="2" fillId="5" borderId="0" xfId="0" applyNumberFormat="1" applyFont="1" applyFill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6" fontId="0" fillId="4" borderId="1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176" fontId="0" fillId="0" borderId="1" xfId="0" applyNumberForma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176" fontId="0" fillId="5" borderId="1" xfId="0" applyNumberFormat="1" applyFill="1" applyBorder="1" applyAlignment="1">
      <alignment horizontal="center" vertical="center" wrapText="1"/>
    </xf>
    <xf numFmtId="176" fontId="0" fillId="6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176" fontId="0" fillId="0" borderId="26" xfId="0" applyNumberFormat="1" applyBorder="1" applyAlignment="1">
      <alignment horizontal="center" vertical="center"/>
    </xf>
    <xf numFmtId="176" fontId="0" fillId="0" borderId="27" xfId="0" applyNumberFormat="1" applyBorder="1" applyAlignment="1">
      <alignment horizontal="center" vertical="center" wrapText="1"/>
    </xf>
    <xf numFmtId="176" fontId="0" fillId="0" borderId="28" xfId="0" applyNumberFormat="1" applyBorder="1" applyAlignment="1">
      <alignment horizontal="center" vertical="center" wrapText="1"/>
    </xf>
    <xf numFmtId="176" fontId="1" fillId="0" borderId="9" xfId="0" applyNumberFormat="1" applyFont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76" fontId="4" fillId="5" borderId="1" xfId="0" applyNumberFormat="1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11" xfId="0" applyFont="1" applyBorder="1" applyAlignment="1">
      <alignment horizontal="left" vertical="center" wrapText="1"/>
    </xf>
    <xf numFmtId="0" fontId="0" fillId="0" borderId="16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7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8" xfId="0" applyFont="1" applyBorder="1" applyAlignment="1">
      <alignment horizontal="left" vertical="center" wrapText="1"/>
    </xf>
    <xf numFmtId="176" fontId="0" fillId="0" borderId="30" xfId="0" applyNumberFormat="1" applyBorder="1" applyAlignment="1">
      <alignment horizontal="center" vertical="center" wrapText="1"/>
    </xf>
    <xf numFmtId="176" fontId="0" fillId="0" borderId="31" xfId="0" applyNumberFormat="1" applyBorder="1" applyAlignment="1">
      <alignment horizontal="center" vertical="center" wrapText="1"/>
    </xf>
    <xf numFmtId="176" fontId="0" fillId="0" borderId="32" xfId="0" applyNumberFormat="1" applyBorder="1" applyAlignment="1">
      <alignment horizontal="center" vertical="center" wrapText="1"/>
    </xf>
    <xf numFmtId="176" fontId="0" fillId="0" borderId="33" xfId="0" applyNumberFormat="1" applyBorder="1" applyAlignment="1">
      <alignment horizontal="center" vertical="center" wrapText="1"/>
    </xf>
    <xf numFmtId="176" fontId="0" fillId="0" borderId="34" xfId="0" applyNumberFormat="1" applyBorder="1" applyAlignment="1">
      <alignment horizontal="center" vertical="center" wrapText="1"/>
    </xf>
    <xf numFmtId="176" fontId="0" fillId="0" borderId="35" xfId="0" applyNumberForma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56515</xdr:colOff>
      <xdr:row>37</xdr:row>
      <xdr:rowOff>99060</xdr:rowOff>
    </xdr:from>
    <xdr:to>
      <xdr:col>10</xdr:col>
      <xdr:colOff>422910</xdr:colOff>
      <xdr:row>70</xdr:row>
      <xdr:rowOff>41910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58105" y="8073390"/>
          <a:ext cx="3581400" cy="636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810895</xdr:colOff>
      <xdr:row>37</xdr:row>
      <xdr:rowOff>114300</xdr:rowOff>
    </xdr:from>
    <xdr:to>
      <xdr:col>13</xdr:col>
      <xdr:colOff>814070</xdr:colOff>
      <xdr:row>71</xdr:row>
      <xdr:rowOff>95250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447280" y="8088630"/>
          <a:ext cx="3947160" cy="65836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Q65"/>
  <sheetViews>
    <sheetView tabSelected="1" topLeftCell="B1" workbookViewId="0">
      <pane ySplit="3" topLeftCell="A43" activePane="bottomLeft" state="frozen"/>
      <selection/>
      <selection pane="bottomLeft" activeCell="N39" sqref="N39"/>
    </sheetView>
  </sheetViews>
  <sheetFormatPr defaultColWidth="9" defaultRowHeight="14.4"/>
  <cols>
    <col min="1" max="1" width="10.1296296296296" style="66"/>
    <col min="2" max="2" width="11.5" style="8"/>
    <col min="3" max="3" width="14" style="57" customWidth="1"/>
    <col min="4" max="4" width="12.6296296296296" style="8"/>
    <col min="5" max="5" width="13.5" style="57" customWidth="1"/>
    <col min="6" max="6" width="12.6296296296296" style="8"/>
    <col min="7" max="7" width="11" style="57" customWidth="1"/>
    <col min="8" max="8" width="11.3796296296296" style="8" customWidth="1"/>
    <col min="9" max="9" width="14" style="57" customWidth="1"/>
    <col min="10" max="10" width="10.5" style="8" customWidth="1"/>
    <col min="11" max="11" width="13.6296296296296" style="57" customWidth="1"/>
    <col min="12" max="12" width="15" style="8" customWidth="1"/>
    <col min="13" max="13" width="4.37962962962963" style="8" customWidth="1"/>
    <col min="14" max="14" width="37.75" style="57" customWidth="1"/>
    <col min="15" max="15" width="31.1296296296296" style="57" customWidth="1"/>
    <col min="16" max="16384" width="9" style="57"/>
  </cols>
  <sheetData>
    <row r="1" spans="2:13">
      <c r="B1" s="67" t="s">
        <v>0</v>
      </c>
      <c r="C1" s="68"/>
      <c r="D1" s="68"/>
      <c r="E1" s="68"/>
      <c r="F1" s="68"/>
      <c r="H1" s="67" t="s">
        <v>1</v>
      </c>
      <c r="I1" s="68"/>
      <c r="J1" s="68"/>
      <c r="K1" s="68"/>
      <c r="L1" s="68"/>
      <c r="M1" s="86"/>
    </row>
    <row r="2" ht="72" spans="1:13">
      <c r="A2" s="69" t="s">
        <v>2</v>
      </c>
      <c r="B2" s="70" t="s">
        <v>3</v>
      </c>
      <c r="C2" s="28" t="s">
        <v>4</v>
      </c>
      <c r="D2" s="70" t="s">
        <v>5</v>
      </c>
      <c r="E2" s="28" t="s">
        <v>6</v>
      </c>
      <c r="F2" s="71" t="s">
        <v>7</v>
      </c>
      <c r="H2" s="70" t="s">
        <v>3</v>
      </c>
      <c r="I2" s="28" t="s">
        <v>8</v>
      </c>
      <c r="J2" s="70" t="s">
        <v>9</v>
      </c>
      <c r="K2" s="28" t="s">
        <v>6</v>
      </c>
      <c r="L2" s="71" t="s">
        <v>7</v>
      </c>
      <c r="M2" s="57"/>
    </row>
    <row r="3" ht="28.8" spans="2:17">
      <c r="B3" s="70" t="s">
        <v>10</v>
      </c>
      <c r="C3" s="28" t="s">
        <v>11</v>
      </c>
      <c r="D3" s="70" t="s">
        <v>12</v>
      </c>
      <c r="E3" s="28" t="s">
        <v>13</v>
      </c>
      <c r="F3" s="70" t="s">
        <v>14</v>
      </c>
      <c r="H3" s="70" t="s">
        <v>10</v>
      </c>
      <c r="I3" s="28" t="s">
        <v>11</v>
      </c>
      <c r="J3" s="70" t="s">
        <v>12</v>
      </c>
      <c r="K3" s="28" t="s">
        <v>13</v>
      </c>
      <c r="L3" s="70" t="s">
        <v>14</v>
      </c>
      <c r="M3" s="57"/>
      <c r="N3" s="28" t="s">
        <v>15</v>
      </c>
      <c r="O3" s="28" t="s">
        <v>16</v>
      </c>
      <c r="P3" s="87"/>
      <c r="Q3" s="87"/>
    </row>
    <row r="4" ht="28.8" spans="2:15">
      <c r="B4" s="72">
        <v>62000</v>
      </c>
      <c r="C4" s="1">
        <v>1</v>
      </c>
      <c r="D4" s="31">
        <f>B4*24%/12</f>
        <v>1240</v>
      </c>
      <c r="E4" s="73">
        <v>2528.68</v>
      </c>
      <c r="F4" s="31">
        <f>E4-D4</f>
        <v>1288.68</v>
      </c>
      <c r="G4" s="8">
        <v>8.22</v>
      </c>
      <c r="H4" s="72">
        <f>B20</f>
        <v>37979.9258781915</v>
      </c>
      <c r="I4" s="1">
        <v>17</v>
      </c>
      <c r="J4" s="31">
        <f>H4*17%/12</f>
        <v>538.048949941046</v>
      </c>
      <c r="K4" s="73">
        <f>E4</f>
        <v>2528.68</v>
      </c>
      <c r="L4" s="31">
        <f>K4-J4</f>
        <v>1990.63105005895</v>
      </c>
      <c r="M4" s="57"/>
      <c r="N4" s="1" t="s">
        <v>17</v>
      </c>
      <c r="O4" s="1"/>
    </row>
    <row r="5" spans="2:15">
      <c r="B5" s="31">
        <f>B4-F4</f>
        <v>60711.32</v>
      </c>
      <c r="C5" s="1">
        <v>2</v>
      </c>
      <c r="D5" s="31">
        <f t="shared" ref="D5:D39" si="0">B5*24%/12</f>
        <v>1214.2264</v>
      </c>
      <c r="E5" s="74">
        <f>$E$4</f>
        <v>2528.68</v>
      </c>
      <c r="F5" s="31">
        <f t="shared" ref="F5:F23" si="1">E5-D5</f>
        <v>1314.4536</v>
      </c>
      <c r="G5" s="8">
        <v>9.22</v>
      </c>
      <c r="H5" s="31">
        <f>H4-L4</f>
        <v>35989.2948281325</v>
      </c>
      <c r="I5" s="1">
        <v>18</v>
      </c>
      <c r="J5" s="88">
        <f t="shared" ref="J5:J39" si="2">H5*17%/12</f>
        <v>509.848343398544</v>
      </c>
      <c r="K5" s="74">
        <f>$E$4</f>
        <v>2528.68</v>
      </c>
      <c r="L5" s="31">
        <f t="shared" ref="L5:L32" si="3">K5-J5</f>
        <v>2018.83165660146</v>
      </c>
      <c r="M5" s="57"/>
      <c r="N5" s="76" t="s">
        <v>18</v>
      </c>
      <c r="O5" s="76" t="s">
        <v>19</v>
      </c>
    </row>
    <row r="6" spans="2:15">
      <c r="B6" s="31">
        <f t="shared" ref="B6:B14" si="4">B5-F5</f>
        <v>59396.8664</v>
      </c>
      <c r="C6" s="1">
        <v>3</v>
      </c>
      <c r="D6" s="31">
        <f t="shared" si="0"/>
        <v>1187.937328</v>
      </c>
      <c r="E6" s="74">
        <f t="shared" ref="E6:E15" si="5">$E$4</f>
        <v>2528.68</v>
      </c>
      <c r="F6" s="31">
        <f t="shared" si="1"/>
        <v>1340.742672</v>
      </c>
      <c r="G6" s="8">
        <v>10.22</v>
      </c>
      <c r="H6" s="31">
        <f t="shared" ref="H6:H32" si="6">H5-L5</f>
        <v>33970.4631715311</v>
      </c>
      <c r="I6" s="1">
        <v>19</v>
      </c>
      <c r="J6" s="31">
        <f t="shared" si="2"/>
        <v>481.248228263357</v>
      </c>
      <c r="K6" s="74">
        <f t="shared" ref="K6:K32" si="7">$E$4</f>
        <v>2528.68</v>
      </c>
      <c r="L6" s="31">
        <f t="shared" si="3"/>
        <v>2047.43177173664</v>
      </c>
      <c r="M6" s="57"/>
      <c r="N6" s="1" t="s">
        <v>20</v>
      </c>
      <c r="O6" s="1"/>
    </row>
    <row r="7" spans="2:15">
      <c r="B7" s="31">
        <f t="shared" si="4"/>
        <v>58056.123728</v>
      </c>
      <c r="C7" s="1">
        <v>4</v>
      </c>
      <c r="D7" s="31">
        <f t="shared" si="0"/>
        <v>1161.12247456</v>
      </c>
      <c r="E7" s="74">
        <f t="shared" si="5"/>
        <v>2528.68</v>
      </c>
      <c r="F7" s="31">
        <f t="shared" si="1"/>
        <v>1367.55752544</v>
      </c>
      <c r="G7" s="8">
        <v>11.22</v>
      </c>
      <c r="H7" s="31">
        <f t="shared" si="6"/>
        <v>31923.0313997944</v>
      </c>
      <c r="I7" s="1">
        <v>20</v>
      </c>
      <c r="J7" s="31">
        <f t="shared" si="2"/>
        <v>452.242944830421</v>
      </c>
      <c r="K7" s="74">
        <f t="shared" si="7"/>
        <v>2528.68</v>
      </c>
      <c r="L7" s="31">
        <f t="shared" si="3"/>
        <v>2076.43705516958</v>
      </c>
      <c r="M7" s="57"/>
      <c r="N7" s="1" t="s">
        <v>21</v>
      </c>
      <c r="O7" s="1"/>
    </row>
    <row r="8" ht="24" customHeight="1" spans="2:15">
      <c r="B8" s="31">
        <f t="shared" si="4"/>
        <v>56688.56620256</v>
      </c>
      <c r="C8" s="1">
        <v>5</v>
      </c>
      <c r="D8" s="31">
        <f t="shared" si="0"/>
        <v>1133.7713240512</v>
      </c>
      <c r="E8" s="74">
        <f t="shared" si="5"/>
        <v>2528.68</v>
      </c>
      <c r="F8" s="31">
        <f t="shared" si="1"/>
        <v>1394.9086759488</v>
      </c>
      <c r="G8" s="8">
        <v>12.22</v>
      </c>
      <c r="H8" s="31">
        <f t="shared" si="6"/>
        <v>29846.5943446249</v>
      </c>
      <c r="I8" s="1">
        <v>21</v>
      </c>
      <c r="J8" s="31">
        <f t="shared" si="2"/>
        <v>422.826753215519</v>
      </c>
      <c r="K8" s="74">
        <f t="shared" si="7"/>
        <v>2528.68</v>
      </c>
      <c r="L8" s="31">
        <f t="shared" si="3"/>
        <v>2105.85324678448</v>
      </c>
      <c r="M8" s="57"/>
      <c r="N8" s="1" t="s">
        <v>22</v>
      </c>
      <c r="O8" s="89"/>
    </row>
    <row r="9" spans="2:15">
      <c r="B9" s="31">
        <f t="shared" si="4"/>
        <v>55293.6575266112</v>
      </c>
      <c r="C9" s="1">
        <v>6</v>
      </c>
      <c r="D9" s="31">
        <f t="shared" si="0"/>
        <v>1105.87315053222</v>
      </c>
      <c r="E9" s="74">
        <f t="shared" si="5"/>
        <v>2528.68</v>
      </c>
      <c r="F9" s="31">
        <f t="shared" si="1"/>
        <v>1422.80684946778</v>
      </c>
      <c r="G9" s="8">
        <v>1.22</v>
      </c>
      <c r="H9" s="75">
        <f t="shared" si="6"/>
        <v>27740.7410978404</v>
      </c>
      <c r="I9" s="1">
        <v>22</v>
      </c>
      <c r="J9" s="31">
        <f t="shared" si="2"/>
        <v>392.993832219405</v>
      </c>
      <c r="K9" s="74">
        <f t="shared" si="7"/>
        <v>2528.68</v>
      </c>
      <c r="L9" s="31">
        <f t="shared" si="3"/>
        <v>2135.68616778059</v>
      </c>
      <c r="M9" s="57"/>
      <c r="N9" s="76" t="s">
        <v>23</v>
      </c>
      <c r="O9" s="89" t="s">
        <v>24</v>
      </c>
    </row>
    <row r="10" spans="2:15">
      <c r="B10" s="31">
        <f t="shared" si="4"/>
        <v>53870.8506771434</v>
      </c>
      <c r="C10" s="1">
        <v>7</v>
      </c>
      <c r="D10" s="31">
        <f t="shared" si="0"/>
        <v>1077.41701354287</v>
      </c>
      <c r="E10" s="74">
        <f t="shared" si="5"/>
        <v>2528.68</v>
      </c>
      <c r="F10" s="31">
        <f t="shared" si="1"/>
        <v>1451.26298645713</v>
      </c>
      <c r="G10" s="8"/>
      <c r="H10" s="31">
        <f t="shared" si="6"/>
        <v>25605.0549300598</v>
      </c>
      <c r="I10" s="1">
        <v>23</v>
      </c>
      <c r="J10" s="31">
        <f t="shared" si="2"/>
        <v>362.738278175847</v>
      </c>
      <c r="K10" s="74">
        <f t="shared" si="7"/>
        <v>2528.68</v>
      </c>
      <c r="L10" s="31">
        <f t="shared" si="3"/>
        <v>2165.94172182415</v>
      </c>
      <c r="M10" s="57"/>
      <c r="N10" s="76" t="s">
        <v>25</v>
      </c>
      <c r="O10" s="1"/>
    </row>
    <row r="11" spans="2:15">
      <c r="B11" s="31">
        <f t="shared" si="4"/>
        <v>52419.5876906863</v>
      </c>
      <c r="C11" s="1">
        <v>8</v>
      </c>
      <c r="D11" s="31">
        <f t="shared" si="0"/>
        <v>1048.39175381373</v>
      </c>
      <c r="E11" s="74">
        <f t="shared" si="5"/>
        <v>2528.68</v>
      </c>
      <c r="F11" s="31">
        <f t="shared" si="1"/>
        <v>1480.28824618627</v>
      </c>
      <c r="G11" s="8"/>
      <c r="H11" s="31">
        <f t="shared" si="6"/>
        <v>23439.1132082356</v>
      </c>
      <c r="I11" s="1">
        <v>24</v>
      </c>
      <c r="J11" s="31">
        <f t="shared" si="2"/>
        <v>332.054103783338</v>
      </c>
      <c r="K11" s="74">
        <f t="shared" si="7"/>
        <v>2528.68</v>
      </c>
      <c r="L11" s="31">
        <f t="shared" si="3"/>
        <v>2196.62589621666</v>
      </c>
      <c r="M11" s="57"/>
      <c r="N11" s="1" t="s">
        <v>26</v>
      </c>
      <c r="O11" s="1" t="s">
        <v>27</v>
      </c>
    </row>
    <row r="12" spans="2:13">
      <c r="B12" s="31">
        <f t="shared" si="4"/>
        <v>50939.2994445</v>
      </c>
      <c r="C12" s="1">
        <v>9</v>
      </c>
      <c r="D12" s="31">
        <f t="shared" si="0"/>
        <v>1018.78598889</v>
      </c>
      <c r="E12" s="74">
        <f t="shared" si="5"/>
        <v>2528.68</v>
      </c>
      <c r="F12" s="31">
        <f t="shared" si="1"/>
        <v>1509.89401111</v>
      </c>
      <c r="G12" s="8"/>
      <c r="H12" s="31">
        <f t="shared" si="6"/>
        <v>21242.487312019</v>
      </c>
      <c r="I12" s="1">
        <v>25</v>
      </c>
      <c r="J12" s="31">
        <f t="shared" si="2"/>
        <v>300.935236920269</v>
      </c>
      <c r="K12" s="74">
        <f t="shared" si="7"/>
        <v>2528.68</v>
      </c>
      <c r="L12" s="31">
        <f t="shared" si="3"/>
        <v>2227.74476307973</v>
      </c>
      <c r="M12" s="57"/>
    </row>
    <row r="13" ht="13.5" customHeight="1" spans="2:15">
      <c r="B13" s="31">
        <f t="shared" si="4"/>
        <v>49429.40543339</v>
      </c>
      <c r="C13" s="76">
        <v>10</v>
      </c>
      <c r="D13" s="31">
        <f t="shared" si="0"/>
        <v>988.5881086678</v>
      </c>
      <c r="E13" s="74">
        <f t="shared" si="5"/>
        <v>2528.68</v>
      </c>
      <c r="F13" s="31">
        <f t="shared" si="1"/>
        <v>1540.0918913322</v>
      </c>
      <c r="G13" s="8"/>
      <c r="H13" s="31">
        <f t="shared" si="6"/>
        <v>19014.7425489392</v>
      </c>
      <c r="I13" s="1">
        <v>26</v>
      </c>
      <c r="J13" s="31">
        <f t="shared" si="2"/>
        <v>269.375519443306</v>
      </c>
      <c r="K13" s="74">
        <f t="shared" si="7"/>
        <v>2528.68</v>
      </c>
      <c r="L13" s="31">
        <f t="shared" si="3"/>
        <v>2259.30448055669</v>
      </c>
      <c r="M13" s="57"/>
      <c r="N13" s="90" t="s">
        <v>28</v>
      </c>
      <c r="O13" s="91"/>
    </row>
    <row r="14" spans="2:15">
      <c r="B14" s="75">
        <f t="shared" si="4"/>
        <v>47889.3135420578</v>
      </c>
      <c r="C14" s="74">
        <v>11</v>
      </c>
      <c r="D14" s="75">
        <f t="shared" si="0"/>
        <v>957.786270841156</v>
      </c>
      <c r="E14" s="74">
        <f t="shared" si="5"/>
        <v>2528.68</v>
      </c>
      <c r="F14" s="75">
        <f t="shared" si="1"/>
        <v>1570.89372915884</v>
      </c>
      <c r="G14" s="8"/>
      <c r="H14" s="31">
        <f t="shared" si="6"/>
        <v>16755.4380683825</v>
      </c>
      <c r="I14" s="1">
        <v>27</v>
      </c>
      <c r="J14" s="31">
        <f t="shared" si="2"/>
        <v>237.368705968753</v>
      </c>
      <c r="K14" s="74">
        <f t="shared" si="7"/>
        <v>2528.68</v>
      </c>
      <c r="L14" s="31">
        <f t="shared" si="3"/>
        <v>2291.31129403125</v>
      </c>
      <c r="M14" s="57"/>
      <c r="N14" s="92"/>
      <c r="O14" s="93"/>
    </row>
    <row r="15" spans="2:15">
      <c r="B15" s="75">
        <f t="shared" ref="B15:B26" si="8">B14-F14</f>
        <v>46318.419812899</v>
      </c>
      <c r="C15" s="1">
        <v>12</v>
      </c>
      <c r="D15" s="31">
        <f t="shared" si="0"/>
        <v>926.368396257979</v>
      </c>
      <c r="E15" s="74">
        <f t="shared" si="5"/>
        <v>2528.68</v>
      </c>
      <c r="F15" s="31">
        <f t="shared" si="1"/>
        <v>1602.31160374202</v>
      </c>
      <c r="H15" s="31">
        <f t="shared" si="6"/>
        <v>14464.1267743513</v>
      </c>
      <c r="I15" s="1">
        <v>28</v>
      </c>
      <c r="J15" s="31">
        <f t="shared" si="2"/>
        <v>204.908462636643</v>
      </c>
      <c r="K15" s="74">
        <f t="shared" si="7"/>
        <v>2528.68</v>
      </c>
      <c r="L15" s="31">
        <f t="shared" si="3"/>
        <v>2323.77153736336</v>
      </c>
      <c r="M15" s="57"/>
      <c r="N15" s="92"/>
      <c r="O15" s="93"/>
    </row>
    <row r="16" spans="2:15">
      <c r="B16" s="75">
        <f t="shared" si="8"/>
        <v>44716.1082091569</v>
      </c>
      <c r="C16" s="1">
        <v>13</v>
      </c>
      <c r="D16" s="31">
        <f t="shared" si="0"/>
        <v>894.322164183139</v>
      </c>
      <c r="E16" s="74">
        <f t="shared" ref="E16:E25" si="9">$E$4</f>
        <v>2528.68</v>
      </c>
      <c r="F16" s="31">
        <f t="shared" si="1"/>
        <v>1634.35783581686</v>
      </c>
      <c r="H16" s="31">
        <f t="shared" si="6"/>
        <v>12140.3552369879</v>
      </c>
      <c r="I16" s="1">
        <v>29</v>
      </c>
      <c r="J16" s="31">
        <f t="shared" si="2"/>
        <v>171.988365857329</v>
      </c>
      <c r="K16" s="74">
        <f t="shared" si="7"/>
        <v>2528.68</v>
      </c>
      <c r="L16" s="31">
        <f t="shared" si="3"/>
        <v>2356.69163414267</v>
      </c>
      <c r="M16" s="57"/>
      <c r="N16" s="92"/>
      <c r="O16" s="93"/>
    </row>
    <row r="17" spans="2:15">
      <c r="B17" s="75">
        <f t="shared" si="8"/>
        <v>43081.7503733401</v>
      </c>
      <c r="C17" s="1">
        <v>14</v>
      </c>
      <c r="D17" s="31">
        <f t="shared" si="0"/>
        <v>861.635007466802</v>
      </c>
      <c r="E17" s="74">
        <f t="shared" si="9"/>
        <v>2528.68</v>
      </c>
      <c r="F17" s="31">
        <f t="shared" si="1"/>
        <v>1667.0449925332</v>
      </c>
      <c r="H17" s="31">
        <f t="shared" si="6"/>
        <v>9783.66360284526</v>
      </c>
      <c r="I17" s="1">
        <v>30</v>
      </c>
      <c r="J17" s="31">
        <f t="shared" si="2"/>
        <v>138.601901040308</v>
      </c>
      <c r="K17" s="74">
        <f t="shared" si="7"/>
        <v>2528.68</v>
      </c>
      <c r="L17" s="31">
        <f t="shared" si="3"/>
        <v>2390.07809895969</v>
      </c>
      <c r="M17" s="57"/>
      <c r="N17" s="92"/>
      <c r="O17" s="93"/>
    </row>
    <row r="18" spans="2:15">
      <c r="B18" s="75">
        <f t="shared" si="8"/>
        <v>41414.7053808069</v>
      </c>
      <c r="C18" s="1">
        <v>15</v>
      </c>
      <c r="D18" s="31">
        <f t="shared" si="0"/>
        <v>828.294107616138</v>
      </c>
      <c r="E18" s="74">
        <f t="shared" si="9"/>
        <v>2528.68</v>
      </c>
      <c r="F18" s="31">
        <f t="shared" si="1"/>
        <v>1700.38589238386</v>
      </c>
      <c r="H18" s="31">
        <f t="shared" si="6"/>
        <v>7393.58550388557</v>
      </c>
      <c r="I18" s="1">
        <v>31</v>
      </c>
      <c r="J18" s="31">
        <f t="shared" si="2"/>
        <v>104.742461305046</v>
      </c>
      <c r="K18" s="74">
        <f t="shared" si="7"/>
        <v>2528.68</v>
      </c>
      <c r="L18" s="31">
        <f t="shared" si="3"/>
        <v>2423.93753869495</v>
      </c>
      <c r="M18" s="57"/>
      <c r="N18" s="92"/>
      <c r="O18" s="93"/>
    </row>
    <row r="19" spans="1:15">
      <c r="A19" s="66">
        <v>7.22</v>
      </c>
      <c r="B19" s="75">
        <f t="shared" si="8"/>
        <v>39714.319488423</v>
      </c>
      <c r="C19" s="1">
        <v>16</v>
      </c>
      <c r="D19" s="77">
        <f t="shared" si="0"/>
        <v>794.28638976846</v>
      </c>
      <c r="E19" s="74">
        <f t="shared" si="9"/>
        <v>2528.68</v>
      </c>
      <c r="F19" s="31">
        <f t="shared" si="1"/>
        <v>1734.39361023154</v>
      </c>
      <c r="H19" s="31">
        <f t="shared" si="6"/>
        <v>4969.64796519062</v>
      </c>
      <c r="I19" s="1">
        <v>32</v>
      </c>
      <c r="J19" s="31">
        <f t="shared" si="2"/>
        <v>70.4033461735337</v>
      </c>
      <c r="K19" s="74">
        <f t="shared" si="7"/>
        <v>2528.68</v>
      </c>
      <c r="L19" s="31">
        <f t="shared" si="3"/>
        <v>2458.27665382647</v>
      </c>
      <c r="M19" s="57"/>
      <c r="N19" s="92"/>
      <c r="O19" s="93"/>
    </row>
    <row r="20" spans="1:15">
      <c r="A20" s="66">
        <v>8.22</v>
      </c>
      <c r="B20" s="78">
        <f t="shared" si="8"/>
        <v>37979.9258781915</v>
      </c>
      <c r="C20" s="79">
        <v>17</v>
      </c>
      <c r="D20" s="78">
        <f t="shared" si="0"/>
        <v>759.59851756383</v>
      </c>
      <c r="E20" s="79">
        <f t="shared" si="9"/>
        <v>2528.68</v>
      </c>
      <c r="F20" s="78">
        <f t="shared" si="1"/>
        <v>1769.08148243617</v>
      </c>
      <c r="H20" s="31">
        <f t="shared" si="6"/>
        <v>2511.37131136415</v>
      </c>
      <c r="I20" s="1">
        <v>33</v>
      </c>
      <c r="J20" s="31">
        <f t="shared" si="2"/>
        <v>35.5777602443255</v>
      </c>
      <c r="K20" s="74">
        <f t="shared" si="7"/>
        <v>2528.68</v>
      </c>
      <c r="L20" s="31">
        <f t="shared" si="3"/>
        <v>2493.10223975567</v>
      </c>
      <c r="M20" s="57"/>
      <c r="N20" s="94"/>
      <c r="O20" s="95"/>
    </row>
    <row r="21" spans="1:13">
      <c r="A21" s="66">
        <v>9.22</v>
      </c>
      <c r="B21" s="78">
        <f t="shared" si="8"/>
        <v>36210.8443957553</v>
      </c>
      <c r="C21" s="74">
        <v>18</v>
      </c>
      <c r="D21" s="75">
        <f t="shared" si="0"/>
        <v>724.216887915106</v>
      </c>
      <c r="E21" s="74">
        <f t="shared" si="9"/>
        <v>2528.68</v>
      </c>
      <c r="F21" s="75">
        <f t="shared" si="1"/>
        <v>1804.46311208489</v>
      </c>
      <c r="H21" s="31">
        <f t="shared" si="6"/>
        <v>18.2690716084753</v>
      </c>
      <c r="I21" s="1">
        <v>34</v>
      </c>
      <c r="J21" s="31">
        <f t="shared" si="2"/>
        <v>0.258811847786734</v>
      </c>
      <c r="K21" s="74">
        <f t="shared" si="7"/>
        <v>2528.68</v>
      </c>
      <c r="L21" s="31">
        <f t="shared" si="3"/>
        <v>2528.42118815221</v>
      </c>
      <c r="M21" s="86"/>
    </row>
    <row r="22" spans="2:13">
      <c r="B22" s="78">
        <f t="shared" si="8"/>
        <v>34406.3812836704</v>
      </c>
      <c r="C22" s="1">
        <v>19</v>
      </c>
      <c r="D22" s="31">
        <f t="shared" si="0"/>
        <v>688.127625673408</v>
      </c>
      <c r="E22" s="74">
        <f t="shared" si="9"/>
        <v>2528.68</v>
      </c>
      <c r="F22" s="31">
        <f t="shared" si="1"/>
        <v>1840.55237432659</v>
      </c>
      <c r="H22" s="31">
        <f t="shared" si="6"/>
        <v>-2510.15211654374</v>
      </c>
      <c r="I22" s="1">
        <v>35</v>
      </c>
      <c r="J22" s="31">
        <f t="shared" si="2"/>
        <v>-35.560488317703</v>
      </c>
      <c r="K22" s="74">
        <f t="shared" si="7"/>
        <v>2528.68</v>
      </c>
      <c r="L22" s="31">
        <f t="shared" si="3"/>
        <v>2564.2404883177</v>
      </c>
      <c r="M22" s="86"/>
    </row>
    <row r="23" spans="2:13">
      <c r="B23" s="78">
        <f t="shared" si="8"/>
        <v>32565.8289093438</v>
      </c>
      <c r="C23" s="1">
        <v>20</v>
      </c>
      <c r="D23" s="31">
        <f t="shared" si="0"/>
        <v>651.316578186876</v>
      </c>
      <c r="E23" s="74">
        <f t="shared" si="9"/>
        <v>2528.68</v>
      </c>
      <c r="F23" s="31">
        <f t="shared" si="1"/>
        <v>1877.36342181312</v>
      </c>
      <c r="H23" s="31">
        <f t="shared" si="6"/>
        <v>-5074.39260486144</v>
      </c>
      <c r="I23" s="1">
        <v>36</v>
      </c>
      <c r="J23" s="31">
        <f t="shared" si="2"/>
        <v>-71.8872285688704</v>
      </c>
      <c r="K23" s="74">
        <f t="shared" si="7"/>
        <v>2528.68</v>
      </c>
      <c r="L23" s="31">
        <f t="shared" si="3"/>
        <v>2600.56722856887</v>
      </c>
      <c r="M23" s="86"/>
    </row>
    <row r="24" spans="2:13">
      <c r="B24" s="78">
        <f t="shared" si="8"/>
        <v>30688.4654875307</v>
      </c>
      <c r="C24" s="1">
        <v>21</v>
      </c>
      <c r="D24" s="31">
        <f t="shared" si="0"/>
        <v>613.769309750614</v>
      </c>
      <c r="E24" s="74">
        <f t="shared" si="9"/>
        <v>2528.68</v>
      </c>
      <c r="F24" s="31">
        <f t="shared" ref="F24:F39" si="10">E24-D24</f>
        <v>1914.91069024939</v>
      </c>
      <c r="H24" s="31">
        <f t="shared" si="6"/>
        <v>-7674.95983343031</v>
      </c>
      <c r="I24" s="1">
        <v>37</v>
      </c>
      <c r="J24" s="31">
        <f t="shared" si="2"/>
        <v>-108.728597640263</v>
      </c>
      <c r="K24" s="74">
        <f t="shared" si="7"/>
        <v>2528.68</v>
      </c>
      <c r="L24" s="31">
        <f t="shared" si="3"/>
        <v>2637.40859764026</v>
      </c>
      <c r="M24" s="86"/>
    </row>
    <row r="25" spans="2:13">
      <c r="B25" s="78">
        <f t="shared" si="8"/>
        <v>28773.5547972813</v>
      </c>
      <c r="C25" s="1">
        <v>22</v>
      </c>
      <c r="D25" s="31">
        <f t="shared" si="0"/>
        <v>575.471095945626</v>
      </c>
      <c r="E25" s="74">
        <f t="shared" si="9"/>
        <v>2528.68</v>
      </c>
      <c r="F25" s="31">
        <f t="shared" si="10"/>
        <v>1953.20890405437</v>
      </c>
      <c r="H25" s="31">
        <f t="shared" si="6"/>
        <v>-10312.3684310706</v>
      </c>
      <c r="I25" s="1">
        <v>38</v>
      </c>
      <c r="J25" s="31">
        <f t="shared" si="2"/>
        <v>-146.091886106833</v>
      </c>
      <c r="K25" s="74">
        <f t="shared" si="7"/>
        <v>2528.68</v>
      </c>
      <c r="L25" s="31">
        <f t="shared" si="3"/>
        <v>2674.77188610683</v>
      </c>
      <c r="M25" s="86"/>
    </row>
    <row r="26" spans="2:13">
      <c r="B26" s="78">
        <f t="shared" si="8"/>
        <v>26820.3458932269</v>
      </c>
      <c r="C26" s="1">
        <v>23</v>
      </c>
      <c r="D26" s="31">
        <f t="shared" si="0"/>
        <v>536.406917864539</v>
      </c>
      <c r="E26" s="74">
        <f t="shared" ref="E26:E39" si="11">$E$4</f>
        <v>2528.68</v>
      </c>
      <c r="F26" s="31">
        <f t="shared" si="10"/>
        <v>1992.27308213546</v>
      </c>
      <c r="H26" s="31">
        <f t="shared" si="6"/>
        <v>-12987.1403171774</v>
      </c>
      <c r="I26" s="1">
        <v>39</v>
      </c>
      <c r="J26" s="31">
        <f t="shared" si="2"/>
        <v>-183.98448782668</v>
      </c>
      <c r="K26" s="74">
        <f t="shared" si="7"/>
        <v>2528.68</v>
      </c>
      <c r="L26" s="31">
        <f t="shared" si="3"/>
        <v>2712.66448782668</v>
      </c>
      <c r="M26" s="86"/>
    </row>
    <row r="27" spans="2:13">
      <c r="B27" s="78">
        <f t="shared" ref="B27:B39" si="12">B26-F26</f>
        <v>24828.0728110915</v>
      </c>
      <c r="C27" s="1">
        <v>24</v>
      </c>
      <c r="D27" s="31">
        <f t="shared" si="0"/>
        <v>496.56145622183</v>
      </c>
      <c r="E27" s="74">
        <f t="shared" si="11"/>
        <v>2528.68</v>
      </c>
      <c r="F27" s="31">
        <f t="shared" si="10"/>
        <v>2032.11854377817</v>
      </c>
      <c r="H27" s="31">
        <f t="shared" si="6"/>
        <v>-15699.8048050041</v>
      </c>
      <c r="I27" s="1">
        <v>40</v>
      </c>
      <c r="J27" s="31">
        <f t="shared" si="2"/>
        <v>-222.413901404225</v>
      </c>
      <c r="K27" s="74">
        <f t="shared" si="7"/>
        <v>2528.68</v>
      </c>
      <c r="L27" s="31">
        <f t="shared" si="3"/>
        <v>2751.09390140422</v>
      </c>
      <c r="M27" s="86"/>
    </row>
    <row r="28" spans="2:13">
      <c r="B28" s="78">
        <f t="shared" si="12"/>
        <v>22795.9542673133</v>
      </c>
      <c r="C28" s="1">
        <v>25</v>
      </c>
      <c r="D28" s="31">
        <f t="shared" si="0"/>
        <v>455.919085346266</v>
      </c>
      <c r="E28" s="74">
        <f t="shared" si="11"/>
        <v>2528.68</v>
      </c>
      <c r="F28" s="31">
        <f t="shared" si="10"/>
        <v>2072.76091465373</v>
      </c>
      <c r="H28" s="31">
        <f t="shared" si="6"/>
        <v>-18450.8987064083</v>
      </c>
      <c r="I28" s="1">
        <v>41</v>
      </c>
      <c r="J28" s="31">
        <f t="shared" si="2"/>
        <v>-261.387731674118</v>
      </c>
      <c r="K28" s="74">
        <f t="shared" si="7"/>
        <v>2528.68</v>
      </c>
      <c r="L28" s="31">
        <f t="shared" si="3"/>
        <v>2790.06773167412</v>
      </c>
      <c r="M28" s="86"/>
    </row>
    <row r="29" spans="2:13">
      <c r="B29" s="78">
        <f t="shared" si="12"/>
        <v>20723.1933526596</v>
      </c>
      <c r="C29" s="1">
        <v>26</v>
      </c>
      <c r="D29" s="31">
        <f t="shared" si="0"/>
        <v>414.463867053192</v>
      </c>
      <c r="E29" s="74">
        <f t="shared" si="11"/>
        <v>2528.68</v>
      </c>
      <c r="F29" s="31">
        <f t="shared" si="10"/>
        <v>2114.21613294681</v>
      </c>
      <c r="H29" s="31">
        <f t="shared" si="6"/>
        <v>-21240.9664380824</v>
      </c>
      <c r="I29" s="1">
        <v>42</v>
      </c>
      <c r="J29" s="31">
        <f t="shared" si="2"/>
        <v>-300.913691206168</v>
      </c>
      <c r="K29" s="74">
        <f t="shared" si="7"/>
        <v>2528.68</v>
      </c>
      <c r="L29" s="31">
        <f t="shared" si="3"/>
        <v>2829.59369120617</v>
      </c>
      <c r="M29" s="86"/>
    </row>
    <row r="30" spans="2:13">
      <c r="B30" s="78">
        <f t="shared" si="12"/>
        <v>18608.9772197128</v>
      </c>
      <c r="C30" s="1">
        <v>27</v>
      </c>
      <c r="D30" s="31">
        <f t="shared" si="0"/>
        <v>372.179544394255</v>
      </c>
      <c r="E30" s="74">
        <f t="shared" si="11"/>
        <v>2528.68</v>
      </c>
      <c r="F30" s="31">
        <f t="shared" si="10"/>
        <v>2156.50045560574</v>
      </c>
      <c r="H30" s="31">
        <f t="shared" si="6"/>
        <v>-24070.5601292886</v>
      </c>
      <c r="I30" s="1">
        <v>43</v>
      </c>
      <c r="J30" s="31">
        <f t="shared" si="2"/>
        <v>-340.999601831588</v>
      </c>
      <c r="K30" s="74">
        <f t="shared" si="7"/>
        <v>2528.68</v>
      </c>
      <c r="L30" s="31">
        <f t="shared" si="3"/>
        <v>2869.67960183159</v>
      </c>
      <c r="M30" s="86"/>
    </row>
    <row r="31" spans="2:13">
      <c r="B31" s="78">
        <f t="shared" si="12"/>
        <v>16452.476764107</v>
      </c>
      <c r="C31" s="1">
        <v>28</v>
      </c>
      <c r="D31" s="31">
        <f t="shared" si="0"/>
        <v>329.049535282141</v>
      </c>
      <c r="E31" s="74">
        <f t="shared" si="11"/>
        <v>2528.68</v>
      </c>
      <c r="F31" s="31">
        <f t="shared" si="10"/>
        <v>2199.63046471786</v>
      </c>
      <c r="H31" s="31">
        <f t="shared" si="6"/>
        <v>-26940.2397311202</v>
      </c>
      <c r="I31" s="1">
        <v>44</v>
      </c>
      <c r="J31" s="31">
        <f t="shared" si="2"/>
        <v>-381.653396190869</v>
      </c>
      <c r="K31" s="74">
        <f t="shared" si="7"/>
        <v>2528.68</v>
      </c>
      <c r="L31" s="31">
        <f t="shared" si="3"/>
        <v>2910.33339619087</v>
      </c>
      <c r="M31" s="86"/>
    </row>
    <row r="32" spans="2:13">
      <c r="B32" s="78">
        <f t="shared" si="12"/>
        <v>14252.8462993892</v>
      </c>
      <c r="C32" s="1">
        <v>29</v>
      </c>
      <c r="D32" s="31">
        <f t="shared" si="0"/>
        <v>285.056925987783</v>
      </c>
      <c r="E32" s="74">
        <f t="shared" si="11"/>
        <v>2528.68</v>
      </c>
      <c r="F32" s="31">
        <f t="shared" si="10"/>
        <v>2243.62307401222</v>
      </c>
      <c r="H32" s="31">
        <f t="shared" si="6"/>
        <v>-29850.5731273111</v>
      </c>
      <c r="I32" s="1">
        <v>45</v>
      </c>
      <c r="J32" s="31">
        <f t="shared" si="2"/>
        <v>-422.883119303573</v>
      </c>
      <c r="K32" s="74">
        <f t="shared" si="7"/>
        <v>2528.68</v>
      </c>
      <c r="L32" s="31">
        <f t="shared" si="3"/>
        <v>2951.56311930357</v>
      </c>
      <c r="M32" s="86"/>
    </row>
    <row r="33" spans="2:13">
      <c r="B33" s="78">
        <f t="shared" si="12"/>
        <v>12009.223225377</v>
      </c>
      <c r="C33" s="1">
        <v>30</v>
      </c>
      <c r="D33" s="31">
        <f t="shared" si="0"/>
        <v>240.184464507539</v>
      </c>
      <c r="E33" s="74">
        <f t="shared" si="11"/>
        <v>2528.68</v>
      </c>
      <c r="F33" s="31">
        <f t="shared" si="10"/>
        <v>2288.49553549246</v>
      </c>
      <c r="H33" s="31"/>
      <c r="I33" s="1"/>
      <c r="J33" s="31">
        <f t="shared" si="2"/>
        <v>0</v>
      </c>
      <c r="K33" s="74"/>
      <c r="L33" s="31"/>
      <c r="M33" s="86"/>
    </row>
    <row r="34" spans="2:13">
      <c r="B34" s="78">
        <f t="shared" si="12"/>
        <v>9720.72768988449</v>
      </c>
      <c r="C34" s="1">
        <v>31</v>
      </c>
      <c r="D34" s="31">
        <f t="shared" si="0"/>
        <v>194.41455379769</v>
      </c>
      <c r="E34" s="74">
        <f t="shared" si="11"/>
        <v>2528.68</v>
      </c>
      <c r="F34" s="31">
        <f t="shared" si="10"/>
        <v>2334.26544620231</v>
      </c>
      <c r="H34" s="31"/>
      <c r="I34" s="1"/>
      <c r="J34" s="31">
        <f t="shared" si="2"/>
        <v>0</v>
      </c>
      <c r="K34" s="74"/>
      <c r="L34" s="31"/>
      <c r="M34" s="86"/>
    </row>
    <row r="35" spans="2:13">
      <c r="B35" s="78">
        <f t="shared" si="12"/>
        <v>7386.46224368218</v>
      </c>
      <c r="C35" s="1">
        <v>32</v>
      </c>
      <c r="D35" s="31">
        <f t="shared" si="0"/>
        <v>147.729244873644</v>
      </c>
      <c r="E35" s="74">
        <f t="shared" si="11"/>
        <v>2528.68</v>
      </c>
      <c r="F35" s="31">
        <f t="shared" si="10"/>
        <v>2380.95075512636</v>
      </c>
      <c r="H35" s="31"/>
      <c r="I35" s="1"/>
      <c r="J35" s="31">
        <f t="shared" si="2"/>
        <v>0</v>
      </c>
      <c r="K35" s="74"/>
      <c r="L35" s="31"/>
      <c r="M35" s="86"/>
    </row>
    <row r="36" spans="2:13">
      <c r="B36" s="78">
        <f t="shared" si="12"/>
        <v>5005.51148855583</v>
      </c>
      <c r="C36" s="1">
        <v>33</v>
      </c>
      <c r="D36" s="31">
        <f t="shared" si="0"/>
        <v>100.110229771117</v>
      </c>
      <c r="E36" s="74">
        <f t="shared" si="11"/>
        <v>2528.68</v>
      </c>
      <c r="F36" s="31">
        <f t="shared" si="10"/>
        <v>2428.56977022888</v>
      </c>
      <c r="H36" s="31"/>
      <c r="I36" s="1"/>
      <c r="J36" s="31">
        <f t="shared" si="2"/>
        <v>0</v>
      </c>
      <c r="K36" s="74"/>
      <c r="L36" s="31"/>
      <c r="M36" s="86"/>
    </row>
    <row r="37" spans="2:13">
      <c r="B37" s="78">
        <f t="shared" si="12"/>
        <v>2576.94171832694</v>
      </c>
      <c r="C37" s="1">
        <v>34</v>
      </c>
      <c r="D37" s="31">
        <f t="shared" si="0"/>
        <v>51.5388343665389</v>
      </c>
      <c r="E37" s="74">
        <f t="shared" si="11"/>
        <v>2528.68</v>
      </c>
      <c r="F37" s="31">
        <f t="shared" si="10"/>
        <v>2477.14116563346</v>
      </c>
      <c r="H37" s="31"/>
      <c r="I37" s="1"/>
      <c r="J37" s="31">
        <f t="shared" si="2"/>
        <v>0</v>
      </c>
      <c r="K37" s="74"/>
      <c r="L37" s="31"/>
      <c r="M37" s="86"/>
    </row>
    <row r="38" spans="2:13">
      <c r="B38" s="78">
        <f t="shared" si="12"/>
        <v>99.8005526934835</v>
      </c>
      <c r="C38" s="1">
        <v>35</v>
      </c>
      <c r="D38" s="31">
        <f t="shared" si="0"/>
        <v>1.99601105386967</v>
      </c>
      <c r="E38" s="74">
        <f t="shared" si="11"/>
        <v>2528.68</v>
      </c>
      <c r="F38" s="31">
        <f t="shared" si="10"/>
        <v>2526.68398894613</v>
      </c>
      <c r="H38" s="31"/>
      <c r="I38" s="1"/>
      <c r="J38" s="31">
        <f t="shared" si="2"/>
        <v>0</v>
      </c>
      <c r="K38" s="74"/>
      <c r="L38" s="31"/>
      <c r="M38" s="86"/>
    </row>
    <row r="39" spans="2:13">
      <c r="B39" s="78">
        <f t="shared" si="12"/>
        <v>-2426.88343625265</v>
      </c>
      <c r="C39" s="1">
        <v>36</v>
      </c>
      <c r="D39" s="31">
        <f t="shared" si="0"/>
        <v>-48.5376687250529</v>
      </c>
      <c r="E39" s="74">
        <f t="shared" si="11"/>
        <v>2528.68</v>
      </c>
      <c r="F39" s="31">
        <f t="shared" si="10"/>
        <v>2577.21766872505</v>
      </c>
      <c r="H39" s="31"/>
      <c r="I39" s="1"/>
      <c r="J39" s="31">
        <f t="shared" si="2"/>
        <v>0</v>
      </c>
      <c r="K39" s="74"/>
      <c r="L39" s="31"/>
      <c r="M39" s="86"/>
    </row>
    <row r="41" spans="3:10">
      <c r="C41" s="1" t="s">
        <v>29</v>
      </c>
      <c r="D41" s="31">
        <f>SUM(D4:D13)+J4</f>
        <v>11714.1624919989</v>
      </c>
      <c r="E41" s="57">
        <f>SUM(E4:E14)</f>
        <v>27815.48</v>
      </c>
      <c r="F41" s="8">
        <f>D41+J41</f>
        <v>14336.1092776148</v>
      </c>
      <c r="I41" s="1" t="s">
        <v>30</v>
      </c>
      <c r="J41" s="31">
        <f>SUM(J9:J21)</f>
        <v>2621.94678561589</v>
      </c>
    </row>
    <row r="42" spans="5:10">
      <c r="E42" s="8"/>
      <c r="I42" s="57" t="s">
        <v>31</v>
      </c>
      <c r="J42" s="8">
        <f>SUM(J5:J8)</f>
        <v>1866.16626970784</v>
      </c>
    </row>
    <row r="43" spans="5:6">
      <c r="E43" s="8">
        <f>E4*36</f>
        <v>91032.48</v>
      </c>
      <c r="F43" s="8">
        <f>B4</f>
        <v>62000</v>
      </c>
    </row>
    <row r="44" spans="3:5">
      <c r="C44" s="8"/>
      <c r="E44" s="8"/>
    </row>
    <row r="45" spans="3:11">
      <c r="C45" s="8"/>
      <c r="E45" s="8"/>
      <c r="F45" s="8">
        <f>E43-D41-B4-J42</f>
        <v>15452.1512382933</v>
      </c>
      <c r="H45" s="8" t="s">
        <v>32</v>
      </c>
      <c r="I45" s="8"/>
      <c r="K45" s="8"/>
    </row>
    <row r="46" spans="5:5">
      <c r="E46" s="8"/>
    </row>
    <row r="47" spans="3:11">
      <c r="C47" s="8"/>
      <c r="E47" s="8"/>
      <c r="F47" s="8">
        <f>E43-B4-D41-J41-J42</f>
        <v>12830.2044526774</v>
      </c>
      <c r="H47" s="8" t="s">
        <v>33</v>
      </c>
      <c r="I47" s="8"/>
      <c r="K47" s="8"/>
    </row>
    <row r="48" spans="5:5">
      <c r="E48" s="8"/>
    </row>
    <row r="49" spans="3:8">
      <c r="C49" s="1" t="s">
        <v>34</v>
      </c>
      <c r="D49" s="31">
        <f>E4*45</f>
        <v>113790.6</v>
      </c>
      <c r="E49" s="1"/>
      <c r="G49" s="57" t="s">
        <v>35</v>
      </c>
      <c r="H49" s="8">
        <f>E4*18</f>
        <v>45516.24</v>
      </c>
    </row>
    <row r="50" ht="28.8" spans="3:8">
      <c r="C50" s="1" t="s">
        <v>36</v>
      </c>
      <c r="D50" s="31">
        <f>B4</f>
        <v>62000</v>
      </c>
      <c r="E50" s="1"/>
      <c r="G50" s="57" t="s">
        <v>37</v>
      </c>
      <c r="H50" s="8">
        <f>D49-H49</f>
        <v>68274.36</v>
      </c>
    </row>
    <row r="51" spans="3:5">
      <c r="C51" s="1" t="s">
        <v>38</v>
      </c>
      <c r="D51" s="31">
        <f>SUM(D4:D19)+SUM(J4:J5)</f>
        <v>17486.7031715311</v>
      </c>
      <c r="E51" s="1"/>
    </row>
    <row r="52" spans="3:5">
      <c r="C52" s="1" t="s">
        <v>31</v>
      </c>
      <c r="D52" s="31">
        <f>SUM(J6:J9)</f>
        <v>1749.3117585287</v>
      </c>
      <c r="E52" s="1" t="s">
        <v>39</v>
      </c>
    </row>
    <row r="53" spans="3:14">
      <c r="C53" s="1" t="s">
        <v>40</v>
      </c>
      <c r="D53" s="31">
        <f>SUM(D4:D19)+SUM(J4:J21)</f>
        <v>21464.9678834563</v>
      </c>
      <c r="E53" s="1" t="s">
        <v>41</v>
      </c>
      <c r="I53" s="57">
        <f>SUM(D4:D19)</f>
        <v>16438.8058781915</v>
      </c>
      <c r="N53" s="57">
        <v>34304</v>
      </c>
    </row>
    <row r="54" spans="3:14">
      <c r="C54" s="1" t="s">
        <v>42</v>
      </c>
      <c r="D54" s="31">
        <f>D49-D50-D51-D52</f>
        <v>32554.5850699402</v>
      </c>
      <c r="E54" s="1"/>
      <c r="I54" s="57">
        <f>+SUM(J4:J21)</f>
        <v>5026.16200526478</v>
      </c>
      <c r="N54" s="57">
        <v>1749</v>
      </c>
    </row>
    <row r="55" spans="3:14">
      <c r="C55" s="1" t="s">
        <v>43</v>
      </c>
      <c r="D55" s="31">
        <f>D49-D50-D53</f>
        <v>30325.6321165437</v>
      </c>
      <c r="E55" s="1"/>
      <c r="N55" s="57">
        <f>N53-N54</f>
        <v>32555</v>
      </c>
    </row>
    <row r="60" ht="15.15"/>
    <row r="61" ht="28.8" spans="2:11">
      <c r="B61" s="80" t="s">
        <v>44</v>
      </c>
      <c r="C61" s="81" t="s">
        <v>45</v>
      </c>
      <c r="D61" s="81" t="s">
        <v>46</v>
      </c>
      <c r="E61" s="81" t="s">
        <v>47</v>
      </c>
      <c r="F61" s="82" t="s">
        <v>31</v>
      </c>
      <c r="H61" s="83" t="s">
        <v>48</v>
      </c>
      <c r="I61" s="96"/>
      <c r="J61" s="96"/>
      <c r="K61" s="97"/>
    </row>
    <row r="62" spans="2:11">
      <c r="B62" s="24">
        <v>9.22</v>
      </c>
      <c r="C62" s="25">
        <v>32554.59</v>
      </c>
      <c r="D62" s="25">
        <v>30325.63</v>
      </c>
      <c r="E62" s="25"/>
      <c r="F62" s="53">
        <v>1749.31</v>
      </c>
      <c r="H62" s="84"/>
      <c r="I62" s="8"/>
      <c r="K62" s="98"/>
    </row>
    <row r="63" spans="2:11">
      <c r="B63" s="85"/>
      <c r="C63" s="25"/>
      <c r="D63" s="25"/>
      <c r="E63" s="25"/>
      <c r="F63" s="53"/>
      <c r="H63" s="84"/>
      <c r="I63" s="8"/>
      <c r="K63" s="98"/>
    </row>
    <row r="64" spans="2:11">
      <c r="B64" s="85"/>
      <c r="C64" s="25"/>
      <c r="D64" s="25"/>
      <c r="E64" s="25"/>
      <c r="F64" s="53"/>
      <c r="H64" s="84"/>
      <c r="I64" s="8"/>
      <c r="K64" s="98"/>
    </row>
    <row r="65" ht="15.15" spans="2:11">
      <c r="B65" s="16"/>
      <c r="C65" s="17"/>
      <c r="D65" s="17"/>
      <c r="E65" s="17"/>
      <c r="F65" s="51"/>
      <c r="H65" s="99"/>
      <c r="I65" s="100"/>
      <c r="J65" s="100"/>
      <c r="K65" s="101"/>
    </row>
  </sheetData>
  <mergeCells count="9">
    <mergeCell ref="B1:F1"/>
    <mergeCell ref="H1:L1"/>
    <mergeCell ref="N10:O10"/>
    <mergeCell ref="C45:E45"/>
    <mergeCell ref="H45:L45"/>
    <mergeCell ref="C47:E47"/>
    <mergeCell ref="H47:L47"/>
    <mergeCell ref="N13:O20"/>
    <mergeCell ref="H61:K65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399975585192419"/>
  </sheetPr>
  <dimension ref="A1:G7"/>
  <sheetViews>
    <sheetView topLeftCell="A10" workbookViewId="0">
      <selection activeCell="D5" sqref="D5"/>
    </sheetView>
  </sheetViews>
  <sheetFormatPr defaultColWidth="11.5" defaultRowHeight="14.4" outlineLevelRow="6" outlineLevelCol="6"/>
  <cols>
    <col min="1" max="1" width="13.3796296296296" style="6" customWidth="1"/>
    <col min="2" max="2" width="11.5" style="6" customWidth="1"/>
    <col min="3" max="3" width="14.1296296296296" style="6" customWidth="1"/>
    <col min="4" max="4" width="11.5" style="6" customWidth="1"/>
    <col min="5" max="16384" width="11.5" style="6"/>
  </cols>
  <sheetData>
    <row r="1" ht="25.5" customHeight="1" spans="1:7">
      <c r="A1" s="60" t="s">
        <v>49</v>
      </c>
      <c r="B1" s="60"/>
      <c r="C1" s="60"/>
      <c r="D1" s="60"/>
      <c r="E1" s="60"/>
      <c r="F1" s="61" t="s">
        <v>50</v>
      </c>
      <c r="G1" s="61"/>
    </row>
    <row r="2" ht="21.95" customHeight="1" spans="1:7">
      <c r="A2" s="62" t="s">
        <v>51</v>
      </c>
      <c r="B2" s="62"/>
      <c r="C2" s="62"/>
      <c r="D2" s="62"/>
      <c r="E2" s="62"/>
      <c r="F2" s="61"/>
      <c r="G2" s="61"/>
    </row>
    <row r="3" spans="1:5">
      <c r="A3" s="29" t="s">
        <v>52</v>
      </c>
      <c r="B3" s="29" t="s">
        <v>53</v>
      </c>
      <c r="C3" s="29" t="s">
        <v>54</v>
      </c>
      <c r="D3" s="29" t="s">
        <v>55</v>
      </c>
      <c r="E3" s="29" t="s">
        <v>31</v>
      </c>
    </row>
    <row r="4" spans="1:5">
      <c r="A4" s="63">
        <v>176284.795675149</v>
      </c>
      <c r="B4" s="64">
        <v>0.24</v>
      </c>
      <c r="C4" s="3">
        <v>12</v>
      </c>
      <c r="D4" s="63">
        <v>0</v>
      </c>
      <c r="E4" s="14">
        <f>A4*B4/C4*D4</f>
        <v>0</v>
      </c>
    </row>
    <row r="5" spans="1:5">
      <c r="A5" s="63">
        <v>111503.15</v>
      </c>
      <c r="B5" s="64">
        <v>0.17</v>
      </c>
      <c r="C5" s="3">
        <v>12</v>
      </c>
      <c r="D5" s="63">
        <v>5</v>
      </c>
      <c r="E5" s="14">
        <f>A5*B5/C5*D5</f>
        <v>7898.13979166667</v>
      </c>
    </row>
    <row r="7" spans="2:2">
      <c r="B7" s="65"/>
    </row>
  </sheetData>
  <mergeCells count="3">
    <mergeCell ref="A1:E1"/>
    <mergeCell ref="A2:E2"/>
    <mergeCell ref="F1:G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3"/>
  <sheetViews>
    <sheetView workbookViewId="0">
      <selection activeCell="K38" sqref="K38"/>
    </sheetView>
  </sheetViews>
  <sheetFormatPr defaultColWidth="9" defaultRowHeight="14.4"/>
  <cols>
    <col min="1" max="1" width="10.8796296296296" style="6" customWidth="1"/>
    <col min="2" max="2" width="10.3796296296296" style="6"/>
    <col min="3" max="3" width="11.6296296296296" style="6" customWidth="1"/>
    <col min="4" max="4" width="10.3796296296296" style="6"/>
    <col min="5" max="5" width="16.25" style="7" customWidth="1"/>
    <col min="6" max="6" width="12.6296296296296" style="8" customWidth="1"/>
    <col min="7" max="7" width="12.75" style="8" customWidth="1"/>
    <col min="8" max="8" width="14.1296296296296" style="6"/>
    <col min="9" max="9" width="9.37962962962963" style="6"/>
    <col min="10" max="10" width="10" style="6" customWidth="1"/>
    <col min="11" max="11" width="20.1296296296296" style="6" customWidth="1"/>
    <col min="12" max="12" width="12.5" style="6" customWidth="1"/>
    <col min="13" max="13" width="9" style="6"/>
    <col min="14" max="14" width="12.6296296296296" style="6"/>
    <col min="15" max="16374" width="9" style="6"/>
  </cols>
  <sheetData>
    <row r="1" ht="31.5" customHeight="1" spans="1:12">
      <c r="A1" s="9"/>
      <c r="B1" s="10" t="s">
        <v>34</v>
      </c>
      <c r="C1" s="10" t="s">
        <v>56</v>
      </c>
      <c r="D1" s="10" t="s">
        <v>57</v>
      </c>
      <c r="E1" s="11" t="s">
        <v>58</v>
      </c>
      <c r="F1" s="12" t="s">
        <v>59</v>
      </c>
      <c r="G1" s="12" t="s">
        <v>60</v>
      </c>
      <c r="H1" s="10" t="s">
        <v>61</v>
      </c>
      <c r="I1" s="10" t="s">
        <v>62</v>
      </c>
      <c r="J1" s="10" t="s">
        <v>63</v>
      </c>
      <c r="K1" s="10" t="s">
        <v>47</v>
      </c>
      <c r="L1" s="48" t="s">
        <v>64</v>
      </c>
    </row>
    <row r="2" spans="1:12">
      <c r="A2" s="13" t="s">
        <v>65</v>
      </c>
      <c r="B2" s="3">
        <f>客户方案计算表!E4*36</f>
        <v>91032.48</v>
      </c>
      <c r="C2" s="3">
        <f>客户方案计算表!B4</f>
        <v>62000</v>
      </c>
      <c r="D2" s="3">
        <v>36</v>
      </c>
      <c r="E2" s="14">
        <f>客户方案计算表!E4</f>
        <v>2528.68</v>
      </c>
      <c r="F2" s="15">
        <v>10</v>
      </c>
      <c r="G2" s="15">
        <v>22</v>
      </c>
      <c r="H2" s="3">
        <v>11</v>
      </c>
      <c r="I2" s="3">
        <v>21</v>
      </c>
      <c r="J2" s="3">
        <v>4</v>
      </c>
      <c r="K2" s="14">
        <f>客户方案计算表!F41</f>
        <v>14336.1092776148</v>
      </c>
      <c r="L2" s="49">
        <f>B2-C2-客户方案计算表!D41</f>
        <v>17318.3175080011</v>
      </c>
    </row>
    <row r="3" spans="1:12">
      <c r="A3" s="13"/>
      <c r="B3" s="3"/>
      <c r="C3" s="3"/>
      <c r="D3" s="3"/>
      <c r="E3" s="14"/>
      <c r="F3" s="15"/>
      <c r="G3" s="15">
        <f>D3-F3</f>
        <v>0</v>
      </c>
      <c r="H3" s="3"/>
      <c r="I3" s="3">
        <f>D3-H3</f>
        <v>0</v>
      </c>
      <c r="J3" s="3"/>
      <c r="K3" s="3"/>
      <c r="L3" s="50"/>
    </row>
    <row r="4" ht="15.15" spans="1:12">
      <c r="A4" s="16" t="s">
        <v>66</v>
      </c>
      <c r="B4" s="17">
        <f>客户方案计算表!E4*36</f>
        <v>91032.48</v>
      </c>
      <c r="C4" s="17">
        <f>客户方案计算表!B4</f>
        <v>62000</v>
      </c>
      <c r="D4" s="17">
        <v>36</v>
      </c>
      <c r="E4" s="18">
        <f>客户方案计算表!E4</f>
        <v>2528.68</v>
      </c>
      <c r="F4" s="19">
        <v>10</v>
      </c>
      <c r="G4" s="19">
        <v>22</v>
      </c>
      <c r="H4" s="17">
        <v>11</v>
      </c>
      <c r="I4" s="17">
        <v>21</v>
      </c>
      <c r="J4" s="17">
        <v>4</v>
      </c>
      <c r="K4" s="18">
        <f>客户方案计算表!F41</f>
        <v>14336.1092776148</v>
      </c>
      <c r="L4" s="51">
        <f>B4-C4-客户方案计算表!D41-客户方案计算表!J41</f>
        <v>14696.3707223852</v>
      </c>
    </row>
    <row r="5" spans="1:12">
      <c r="A5" s="20"/>
      <c r="B5" s="21"/>
      <c r="C5" s="21"/>
      <c r="D5" s="21"/>
      <c r="E5" s="22"/>
      <c r="F5" s="23"/>
      <c r="G5" s="23"/>
      <c r="H5" s="21"/>
      <c r="I5" s="21"/>
      <c r="J5" s="21"/>
      <c r="K5" s="22"/>
      <c r="L5" s="52"/>
    </row>
    <row r="6" spans="1:12">
      <c r="A6" s="24"/>
      <c r="B6" s="25"/>
      <c r="C6" s="25"/>
      <c r="D6" s="25"/>
      <c r="E6" s="26"/>
      <c r="F6" s="27"/>
      <c r="G6" s="27"/>
      <c r="H6" s="25"/>
      <c r="I6" s="25"/>
      <c r="J6" s="25"/>
      <c r="K6" s="26"/>
      <c r="L6" s="53"/>
    </row>
    <row r="7" spans="1:12">
      <c r="A7" s="24"/>
      <c r="B7" s="25"/>
      <c r="C7" s="25"/>
      <c r="D7" s="25"/>
      <c r="E7" s="26"/>
      <c r="F7" s="27"/>
      <c r="G7" s="27"/>
      <c r="H7" s="25"/>
      <c r="I7" s="25"/>
      <c r="J7" s="25"/>
      <c r="K7" s="26"/>
      <c r="L7" s="53"/>
    </row>
    <row r="8" ht="35" customHeight="1" spans="1:12">
      <c r="A8" s="28"/>
      <c r="B8" s="3"/>
      <c r="C8" s="3"/>
      <c r="D8" s="3"/>
      <c r="E8" s="14"/>
      <c r="F8" s="15"/>
      <c r="G8" s="15"/>
      <c r="H8" s="3"/>
      <c r="I8" s="14"/>
      <c r="J8" s="3"/>
      <c r="K8" s="54"/>
      <c r="L8" s="14"/>
    </row>
    <row r="9" spans="1:12">
      <c r="A9" s="29"/>
      <c r="B9" s="3"/>
      <c r="C9" s="3"/>
      <c r="D9" s="3"/>
      <c r="E9" s="14"/>
      <c r="F9" s="15"/>
      <c r="G9" s="15"/>
      <c r="H9" s="3"/>
      <c r="I9" s="3"/>
      <c r="J9" s="3"/>
      <c r="K9" s="14"/>
      <c r="L9" s="14"/>
    </row>
    <row r="10" spans="1:12">
      <c r="A10" s="30"/>
      <c r="B10" s="3"/>
      <c r="C10" s="3"/>
      <c r="D10" s="3"/>
      <c r="E10" s="14"/>
      <c r="F10" s="15"/>
      <c r="G10" s="15"/>
      <c r="H10" s="3"/>
      <c r="I10" s="3"/>
      <c r="J10" s="3"/>
      <c r="K10" s="14"/>
      <c r="L10" s="14"/>
    </row>
    <row r="11" spans="1:12">
      <c r="A11" s="30"/>
      <c r="B11" s="3"/>
      <c r="C11" s="3"/>
      <c r="D11" s="3"/>
      <c r="E11" s="14"/>
      <c r="F11" s="15"/>
      <c r="G11" s="15"/>
      <c r="H11" s="3"/>
      <c r="I11" s="3"/>
      <c r="J11" s="3"/>
      <c r="K11" s="14"/>
      <c r="L11" s="14"/>
    </row>
    <row r="12" spans="1:12">
      <c r="A12" s="29"/>
      <c r="B12" s="3"/>
      <c r="C12" s="3"/>
      <c r="D12" s="3"/>
      <c r="E12" s="14"/>
      <c r="F12" s="15"/>
      <c r="G12" s="15"/>
      <c r="H12" s="3"/>
      <c r="I12" s="3"/>
      <c r="J12" s="3"/>
      <c r="K12" s="14"/>
      <c r="L12" s="14"/>
    </row>
    <row r="13" spans="1:12">
      <c r="A13" s="29"/>
      <c r="B13" s="3"/>
      <c r="C13" s="3"/>
      <c r="D13" s="3"/>
      <c r="E13" s="14"/>
      <c r="F13" s="15"/>
      <c r="G13" s="15"/>
      <c r="H13" s="3"/>
      <c r="I13" s="3"/>
      <c r="J13" s="3"/>
      <c r="K13" s="14"/>
      <c r="L13" s="14"/>
    </row>
    <row r="14" spans="1:12">
      <c r="A14" s="29"/>
      <c r="B14" s="3"/>
      <c r="C14" s="3"/>
      <c r="D14" s="3"/>
      <c r="E14" s="14"/>
      <c r="F14" s="15"/>
      <c r="G14" s="15"/>
      <c r="H14" s="3"/>
      <c r="I14" s="3"/>
      <c r="J14" s="3"/>
      <c r="K14" s="14"/>
      <c r="L14" s="14"/>
    </row>
    <row r="15" spans="1:12">
      <c r="A15" s="29"/>
      <c r="B15" s="3"/>
      <c r="C15" s="3"/>
      <c r="D15" s="3"/>
      <c r="E15" s="14"/>
      <c r="F15" s="15"/>
      <c r="G15" s="15"/>
      <c r="H15" s="3"/>
      <c r="I15" s="14"/>
      <c r="J15" s="3"/>
      <c r="K15" s="14"/>
      <c r="L15" s="14"/>
    </row>
    <row r="16" spans="1:12">
      <c r="A16" s="29"/>
      <c r="B16" s="3"/>
      <c r="C16" s="3"/>
      <c r="D16" s="3"/>
      <c r="E16" s="14"/>
      <c r="F16" s="15"/>
      <c r="G16" s="15"/>
      <c r="H16" s="3"/>
      <c r="I16" s="14"/>
      <c r="J16" s="3"/>
      <c r="K16" s="14"/>
      <c r="L16" s="14"/>
    </row>
    <row r="17" spans="1:12">
      <c r="A17" s="29"/>
      <c r="B17" s="3"/>
      <c r="C17" s="3"/>
      <c r="D17" s="3"/>
      <c r="E17" s="14"/>
      <c r="F17" s="15"/>
      <c r="G17" s="15"/>
      <c r="H17" s="3"/>
      <c r="I17" s="14"/>
      <c r="J17" s="3"/>
      <c r="K17" s="14"/>
      <c r="L17" s="14"/>
    </row>
    <row r="18" spans="1:12">
      <c r="A18" s="29"/>
      <c r="B18" s="3"/>
      <c r="C18" s="3"/>
      <c r="D18" s="3"/>
      <c r="E18" s="14"/>
      <c r="F18" s="15"/>
      <c r="G18" s="15"/>
      <c r="H18" s="3"/>
      <c r="I18" s="14"/>
      <c r="J18" s="3"/>
      <c r="K18" s="14"/>
      <c r="L18" s="14"/>
    </row>
    <row r="19" spans="1:12">
      <c r="A19" s="29"/>
      <c r="B19" s="3"/>
      <c r="C19" s="3"/>
      <c r="D19" s="3"/>
      <c r="E19" s="14"/>
      <c r="F19" s="15"/>
      <c r="G19" s="15"/>
      <c r="H19" s="3"/>
      <c r="I19" s="14"/>
      <c r="J19" s="3"/>
      <c r="K19" s="14"/>
      <c r="L19" s="14"/>
    </row>
    <row r="20" spans="1:12">
      <c r="A20" s="3"/>
      <c r="B20" s="3"/>
      <c r="C20" s="3"/>
      <c r="D20" s="3"/>
      <c r="E20" s="14"/>
      <c r="F20" s="31"/>
      <c r="G20" s="31"/>
      <c r="H20" s="3"/>
      <c r="I20" s="14"/>
      <c r="J20" s="3"/>
      <c r="K20" s="3"/>
      <c r="L20" s="14"/>
    </row>
    <row r="21" spans="1:13">
      <c r="A21" s="32" t="s">
        <v>67</v>
      </c>
      <c r="B21" s="33"/>
      <c r="C21" s="33"/>
      <c r="D21" s="33"/>
      <c r="E21" s="33"/>
      <c r="F21" s="33"/>
      <c r="G21" s="33"/>
      <c r="H21" s="33"/>
      <c r="I21" s="33"/>
      <c r="J21" s="55"/>
      <c r="K21" s="56"/>
      <c r="L21" s="56"/>
      <c r="M21" s="57"/>
    </row>
    <row r="22" spans="1:13">
      <c r="A22" s="34"/>
      <c r="B22" s="35"/>
      <c r="C22" s="35"/>
      <c r="D22" s="35"/>
      <c r="E22" s="35"/>
      <c r="F22" s="35"/>
      <c r="G22" s="35"/>
      <c r="H22" s="35"/>
      <c r="I22" s="35"/>
      <c r="J22" s="58"/>
      <c r="K22" s="56"/>
      <c r="L22" s="56"/>
      <c r="M22" s="57"/>
    </row>
    <row r="23" spans="1:13">
      <c r="A23" s="34"/>
      <c r="B23" s="35"/>
      <c r="C23" s="35"/>
      <c r="D23" s="35"/>
      <c r="E23" s="35"/>
      <c r="F23" s="35"/>
      <c r="G23" s="35"/>
      <c r="H23" s="35"/>
      <c r="I23" s="35"/>
      <c r="J23" s="58"/>
      <c r="K23" s="56"/>
      <c r="L23" s="56"/>
      <c r="M23" s="57"/>
    </row>
    <row r="24" spans="1:13">
      <c r="A24" s="34"/>
      <c r="B24" s="35"/>
      <c r="C24" s="35"/>
      <c r="D24" s="35"/>
      <c r="E24" s="35"/>
      <c r="F24" s="35"/>
      <c r="G24" s="35"/>
      <c r="H24" s="35"/>
      <c r="I24" s="35"/>
      <c r="J24" s="58"/>
      <c r="K24" s="56"/>
      <c r="L24" s="56"/>
      <c r="M24" s="57"/>
    </row>
    <row r="25" spans="1:13">
      <c r="A25" s="34"/>
      <c r="B25" s="35"/>
      <c r="C25" s="35"/>
      <c r="D25" s="35"/>
      <c r="E25" s="35"/>
      <c r="F25" s="35"/>
      <c r="G25" s="35"/>
      <c r="H25" s="35"/>
      <c r="I25" s="35"/>
      <c r="J25" s="58"/>
      <c r="K25" s="56"/>
      <c r="L25" s="56"/>
      <c r="M25" s="57"/>
    </row>
    <row r="26" ht="93" customHeight="1" spans="1:13">
      <c r="A26" s="36"/>
      <c r="B26" s="37"/>
      <c r="C26" s="37"/>
      <c r="D26" s="37"/>
      <c r="E26" s="37"/>
      <c r="F26" s="37"/>
      <c r="G26" s="37"/>
      <c r="H26" s="37"/>
      <c r="I26" s="37"/>
      <c r="J26" s="59"/>
      <c r="K26" s="56"/>
      <c r="L26" s="56"/>
      <c r="M26" s="57"/>
    </row>
    <row r="28" spans="1:12">
      <c r="A28" s="38" t="s">
        <v>68</v>
      </c>
      <c r="B28" s="39"/>
      <c r="C28" s="39"/>
      <c r="D28" s="39"/>
      <c r="E28" s="39"/>
      <c r="F28" s="40"/>
      <c r="G28" s="41"/>
      <c r="H28" s="41"/>
      <c r="I28" s="41"/>
      <c r="J28" s="41"/>
      <c r="K28" s="41"/>
      <c r="L28" s="41"/>
    </row>
    <row r="29" spans="1:12">
      <c r="A29" s="42"/>
      <c r="B29" s="43"/>
      <c r="C29" s="43"/>
      <c r="D29" s="43"/>
      <c r="E29" s="43"/>
      <c r="F29" s="44"/>
      <c r="G29" s="41"/>
      <c r="H29" s="41"/>
      <c r="I29" s="41"/>
      <c r="J29" s="41"/>
      <c r="K29" s="41"/>
      <c r="L29" s="41"/>
    </row>
    <row r="30" spans="1:12">
      <c r="A30" s="42"/>
      <c r="B30" s="43"/>
      <c r="C30" s="43"/>
      <c r="D30" s="43"/>
      <c r="E30" s="43"/>
      <c r="F30" s="44"/>
      <c r="G30" s="41">
        <f>客户方案计算表!E4*45</f>
        <v>113790.6</v>
      </c>
      <c r="H30" s="41"/>
      <c r="I30" s="6" t="s">
        <v>45</v>
      </c>
      <c r="J30" s="41">
        <f>G30-G31-G32-G33</f>
        <v>32554.8968284689</v>
      </c>
      <c r="K30" s="41"/>
      <c r="L30" s="41"/>
    </row>
    <row r="31" spans="1:12">
      <c r="A31" s="42"/>
      <c r="B31" s="43"/>
      <c r="C31" s="43"/>
      <c r="D31" s="43"/>
      <c r="E31" s="43"/>
      <c r="F31" s="44"/>
      <c r="G31" s="41">
        <f>客户方案计算表!E4*18</f>
        <v>45516.24</v>
      </c>
      <c r="H31" s="41"/>
      <c r="I31" s="41"/>
      <c r="J31" s="41"/>
      <c r="K31" s="41"/>
      <c r="L31" s="41"/>
    </row>
    <row r="32" spans="1:12">
      <c r="A32" s="42"/>
      <c r="B32" s="43"/>
      <c r="C32" s="43"/>
      <c r="D32" s="43"/>
      <c r="E32" s="43"/>
      <c r="F32" s="44"/>
      <c r="G32" s="41">
        <v>1749</v>
      </c>
      <c r="H32" s="41" t="s">
        <v>31</v>
      </c>
      <c r="I32" s="41"/>
      <c r="J32" s="41"/>
      <c r="K32" s="41"/>
      <c r="L32" s="41"/>
    </row>
    <row r="33" spans="1:12">
      <c r="A33" s="42"/>
      <c r="B33" s="43"/>
      <c r="C33" s="43"/>
      <c r="D33" s="43"/>
      <c r="E33" s="43"/>
      <c r="F33" s="44"/>
      <c r="G33" s="41">
        <f>客户方案计算表!H6</f>
        <v>33970.4631715311</v>
      </c>
      <c r="H33" s="41" t="s">
        <v>52</v>
      </c>
      <c r="I33" s="41"/>
      <c r="J33" s="41"/>
      <c r="K33" s="41"/>
      <c r="L33" s="41"/>
    </row>
    <row r="34" spans="1:12">
      <c r="A34" s="42"/>
      <c r="B34" s="43"/>
      <c r="C34" s="43"/>
      <c r="D34" s="43"/>
      <c r="E34" s="43"/>
      <c r="F34" s="44"/>
      <c r="G34" s="41"/>
      <c r="H34" s="41"/>
      <c r="I34" s="41"/>
      <c r="J34" s="41"/>
      <c r="K34" s="41"/>
      <c r="L34" s="41"/>
    </row>
    <row r="35" spans="1:12">
      <c r="A35" s="45"/>
      <c r="B35" s="46"/>
      <c r="C35" s="46"/>
      <c r="D35" s="46"/>
      <c r="E35" s="46"/>
      <c r="F35" s="47"/>
      <c r="G35" s="41"/>
      <c r="H35" s="41"/>
      <c r="I35" s="41"/>
      <c r="J35" s="41"/>
      <c r="K35" s="41"/>
      <c r="L35" s="41"/>
    </row>
    <row r="37" spans="1:12">
      <c r="A37" s="38" t="s">
        <v>69</v>
      </c>
      <c r="B37" s="39"/>
      <c r="C37" s="39"/>
      <c r="D37" s="39"/>
      <c r="E37" s="39"/>
      <c r="F37" s="40"/>
      <c r="G37" s="41"/>
      <c r="H37" s="41"/>
      <c r="I37" s="41"/>
      <c r="J37" s="41"/>
      <c r="K37" s="41"/>
      <c r="L37" s="41"/>
    </row>
    <row r="38" spans="1:12">
      <c r="A38" s="42"/>
      <c r="B38" s="43"/>
      <c r="C38" s="43"/>
      <c r="D38" s="43"/>
      <c r="E38" s="43"/>
      <c r="F38" s="44"/>
      <c r="G38" s="41">
        <f>客户方案计算表!E4*45</f>
        <v>113790.6</v>
      </c>
      <c r="H38" s="41"/>
      <c r="I38" s="41" t="s">
        <v>46</v>
      </c>
      <c r="J38" s="41">
        <f>G38-G39-G40-G41-G43</f>
        <v>30325.6286002056</v>
      </c>
      <c r="K38" s="41"/>
      <c r="L38" s="41"/>
    </row>
    <row r="39" spans="1:12">
      <c r="A39" s="42"/>
      <c r="B39" s="43"/>
      <c r="C39" s="43"/>
      <c r="D39" s="43"/>
      <c r="E39" s="43"/>
      <c r="F39" s="44"/>
      <c r="G39" s="41">
        <f>客户方案计算表!E4*18</f>
        <v>45516.24</v>
      </c>
      <c r="H39" s="41"/>
      <c r="I39" s="41"/>
      <c r="J39" s="41"/>
      <c r="K39" s="41"/>
      <c r="L39" s="41"/>
    </row>
    <row r="40" spans="1:12">
      <c r="A40" s="42"/>
      <c r="B40" s="43"/>
      <c r="C40" s="43"/>
      <c r="D40" s="43"/>
      <c r="E40" s="43"/>
      <c r="F40" s="44"/>
      <c r="G40" s="41">
        <f>客户方案计算表!H6</f>
        <v>33970.4631715311</v>
      </c>
      <c r="H40" s="41"/>
      <c r="I40" s="41"/>
      <c r="J40" s="41"/>
      <c r="K40" s="41"/>
      <c r="L40" s="41"/>
    </row>
    <row r="41" spans="1:12">
      <c r="A41" s="42"/>
      <c r="B41" s="43"/>
      <c r="C41" s="43"/>
      <c r="D41" s="43"/>
      <c r="E41" s="43"/>
      <c r="F41" s="44"/>
      <c r="G41" s="41">
        <f>客户方案计算表!H6*0.17/12</f>
        <v>481.248228263357</v>
      </c>
      <c r="H41" s="41"/>
      <c r="I41" s="41"/>
      <c r="J41" s="41"/>
      <c r="K41" s="41"/>
      <c r="L41" s="41"/>
    </row>
    <row r="42" spans="1:12">
      <c r="A42" s="42"/>
      <c r="B42" s="43"/>
      <c r="C42" s="43"/>
      <c r="D42" s="43"/>
      <c r="E42" s="43"/>
      <c r="F42" s="44"/>
      <c r="G42" s="41"/>
      <c r="H42" s="41"/>
      <c r="I42" s="41"/>
      <c r="J42" s="41"/>
      <c r="K42" s="41"/>
      <c r="L42" s="41"/>
    </row>
    <row r="43" ht="33" customHeight="1" spans="1:12">
      <c r="A43" s="45"/>
      <c r="B43" s="46"/>
      <c r="C43" s="46"/>
      <c r="D43" s="46"/>
      <c r="E43" s="46"/>
      <c r="F43" s="47"/>
      <c r="G43" s="41">
        <v>3497.02</v>
      </c>
      <c r="H43" s="41"/>
      <c r="I43" s="41"/>
      <c r="J43" s="41"/>
      <c r="K43" s="41"/>
      <c r="L43" s="41"/>
    </row>
  </sheetData>
  <mergeCells count="4">
    <mergeCell ref="M21:M26"/>
    <mergeCell ref="A28:F35"/>
    <mergeCell ref="A37:F43"/>
    <mergeCell ref="A21:J26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3:K5"/>
  <sheetViews>
    <sheetView workbookViewId="0">
      <selection activeCell="M5" sqref="M5"/>
    </sheetView>
  </sheetViews>
  <sheetFormatPr defaultColWidth="9" defaultRowHeight="14.4" outlineLevelRow="4"/>
  <cols>
    <col min="7" max="7" width="12.6296296296296"/>
    <col min="10" max="10" width="9.12962962962963"/>
  </cols>
  <sheetData>
    <row r="3" ht="28.8" spans="6:11">
      <c r="F3" s="1" t="s">
        <v>70</v>
      </c>
      <c r="G3" s="1" t="s">
        <v>71</v>
      </c>
      <c r="H3" s="2" t="s">
        <v>72</v>
      </c>
      <c r="I3" s="1" t="s">
        <v>61</v>
      </c>
      <c r="J3" s="1" t="s">
        <v>73</v>
      </c>
      <c r="K3" s="4" t="s">
        <v>55</v>
      </c>
    </row>
    <row r="4" spans="6:11">
      <c r="F4" s="3">
        <v>150000</v>
      </c>
      <c r="G4" s="3">
        <v>36</v>
      </c>
      <c r="H4" s="3">
        <v>6108</v>
      </c>
      <c r="I4" s="3">
        <v>11</v>
      </c>
      <c r="J4" s="5">
        <v>44063</v>
      </c>
      <c r="K4" s="3">
        <v>5</v>
      </c>
    </row>
    <row r="5" spans="6:11">
      <c r="F5" s="3">
        <v>100000</v>
      </c>
      <c r="G5" s="3">
        <v>36</v>
      </c>
      <c r="H5" s="3">
        <v>4864</v>
      </c>
      <c r="I5" s="3">
        <v>19</v>
      </c>
      <c r="J5" s="5">
        <v>44520</v>
      </c>
      <c r="K5" s="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客户方案计算表</vt:lpstr>
      <vt:lpstr>逾期利息</vt:lpstr>
      <vt:lpstr>减免计算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yymcc</cp:lastModifiedBy>
  <dcterms:created xsi:type="dcterms:W3CDTF">2020-09-30T02:40:00Z</dcterms:created>
  <dcterms:modified xsi:type="dcterms:W3CDTF">2021-01-28T16:15:35Z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KSOReadingLayout">
    <vt:bool>true</vt:bool>
  </property>
</Properties>
</file>