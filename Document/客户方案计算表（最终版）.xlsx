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客户方案计算表" sheetId="1" r:id="rId1"/>
    <sheet name="逾期利息" sheetId="2" r:id="rId2"/>
    <sheet name="减免计算" sheetId="3" r:id="rId3"/>
  </sheets>
  <calcPr calcId="144525"/>
</workbook>
</file>

<file path=xl/sharedStrings.xml><?xml version="1.0" encoding="utf-8"?>
<sst xmlns="http://schemas.openxmlformats.org/spreadsheetml/2006/main" count="44" uniqueCount="44">
  <si>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</si>
  <si>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</si>
  <si>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还款期数与签订合同保持一致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</si>
  <si>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计息本金*15.4%/12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</si>
  <si>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</si>
  <si>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</si>
  <si>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</si>
  <si>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</si>
  <si>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</si>
  <si>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</si>
  <si>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</si>
  <si>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</si>
  <si>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</si>
  <si>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</si>
  <si>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t>每月应还利息=计息本金*15.4%/12</t>
  </si>
  <si>
    <t>每个月客户按15.4%应该还的利息</t>
  </si>
  <si>
    <t>每月还款金额=合同约定还款金额</t>
  </si>
  <si>
    <t>每月应抵本金=还款金额-应还利息金额</t>
  </si>
  <si>
    <t>第二期计息本金=客户实际到账本金-应抵本金</t>
  </si>
  <si>
    <t>逾期利息=剩余本金*15.4%/12*逾期期数</t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</si>
  <si>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</si>
  <si>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</si>
  <si>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</si>
  <si>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</si>
  <si>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应付利息：</t>
  </si>
  <si>
    <t>逾期利息=剩余本金/15.4%/12*逾期期数</t>
  </si>
  <si>
    <t>绿色为手工填写</t>
  </si>
  <si>
    <t>剩余本金</t>
  </si>
  <si>
    <t>利率</t>
  </si>
  <si>
    <t>12个月</t>
  </si>
  <si>
    <t>逾期期数</t>
  </si>
  <si>
    <t>逾期利息</t>
  </si>
  <si>
    <t>合同金额</t>
  </si>
  <si>
    <t>实际到账</t>
  </si>
  <si>
    <t>分期总数</t>
  </si>
  <si>
    <t>每期金额</t>
  </si>
  <si>
    <t>已还期数</t>
  </si>
  <si>
    <t>逾期</t>
  </si>
  <si>
    <t>应付利息</t>
  </si>
  <si>
    <t>结果</t>
  </si>
  <si>
    <t>减免最大值</t>
  </si>
  <si>
    <t>减免最小值</t>
  </si>
  <si>
    <r>
      <rPr>
        <sz val="11"/>
        <color theme="1"/>
        <rFont val="宋体"/>
        <charset val="134"/>
        <scheme val="minor"/>
      </rPr>
      <t xml:space="preserve">计算逻辑：
</t>
    </r>
    <r>
      <rPr>
        <b/>
        <sz val="11"/>
        <color theme="1"/>
        <rFont val="宋体"/>
        <charset val="134"/>
        <scheme val="minor"/>
      </rPr>
      <t>最大减免</t>
    </r>
    <r>
      <rPr>
        <sz val="11"/>
        <color theme="1"/>
        <rFont val="宋体"/>
        <charset val="134"/>
        <scheme val="minor"/>
      </rPr>
      <t xml:space="preserve">=合同金额-到账金额-应付利息
合同金额=每期还款*总期数
应付利息=到账金额*17%/12*已用期数
已用期数=已还期数+逾期期数
</t>
    </r>
    <r>
      <rPr>
        <b/>
        <sz val="11"/>
        <color theme="1"/>
        <rFont val="宋体"/>
        <charset val="134"/>
        <scheme val="minor"/>
      </rPr>
      <t>最小减免</t>
    </r>
    <r>
      <rPr>
        <sz val="11"/>
        <color theme="1"/>
        <rFont val="宋体"/>
        <charset val="134"/>
        <scheme val="minor"/>
      </rPr>
      <t>=合同金额-到账金额-应付利息
（应付利息=到账金额*17%*3年）</t>
    </r>
  </si>
  <si>
    <t>1. 最大减免中的 /12 和分期总数无关,对吗?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</si>
</sst>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5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22" borderId="22" applyNumberFormat="0" applyAlignment="0" applyProtection="0">
      <alignment vertical="center"/>
    </xf>
    <xf numFmtId="0" fontId="16" fillId="22" borderId="16" applyNumberFormat="0" applyAlignment="0" applyProtection="0">
      <alignment vertical="center"/>
    </xf>
    <xf numFmtId="0" fontId="18" fillId="23" borderId="20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0"/>
  <sheetViews>
    <sheetView tabSelected="1" topLeftCell="A19" workbookViewId="0">
      <selection activeCell="E4" sqref="E4"/>
    </sheetView>
  </sheetViews>
  <sheetFormatPr defaultColWidth="9" defaultRowHeight="14.4"/>
  <cols>
    <col min="1" max="1" width="9" style="28"/>
    <col min="2" max="2" width="11.8888888888889" style="29"/>
    <col min="3" max="3" width="14" style="28" customWidth="1"/>
    <col min="4" max="4" width="12.6296296296296" style="29"/>
    <col min="5" max="5" width="13.6296296296296" style="28" customWidth="1"/>
    <col min="6" max="6" width="12.6296296296296" style="29"/>
    <col min="7" max="7" width="9" style="28"/>
    <col min="8" max="8" width="46.3796296296296" style="28" customWidth="1"/>
    <col min="9" max="9" width="31.1296296296296" style="28" customWidth="1"/>
    <col min="10" max="16384" width="9" style="28"/>
  </cols>
  <sheetData>
    <row r="1" ht="67.2" spans="1:6">
      <c r="A1" s="30" t="s">
        <v>0</v>
      </c>
      <c r="B1" s="31" t="s">
        <v>1</v>
      </c>
      <c r="C1" s="32" t="s">
        <v>2</v>
      </c>
      <c r="D1" s="31" t="s">
        <v>3</v>
      </c>
      <c r="E1" s="32" t="s">
        <v>4</v>
      </c>
      <c r="F1" s="33" t="s">
        <v>5</v>
      </c>
    </row>
    <row r="2" ht="28.8" spans="2:11">
      <c r="B2" s="31" t="s">
        <v>6</v>
      </c>
      <c r="C2" s="32" t="s">
        <v>7</v>
      </c>
      <c r="D2" s="31" t="s">
        <v>8</v>
      </c>
      <c r="E2" s="32" t="s">
        <v>9</v>
      </c>
      <c r="F2" s="31" t="s">
        <v>10</v>
      </c>
      <c r="H2" s="32" t="s">
        <v>11</v>
      </c>
      <c r="I2" s="32" t="s">
        <v>12</v>
      </c>
      <c r="J2" s="40"/>
      <c r="K2" s="40"/>
    </row>
    <row r="3" spans="2:9">
      <c r="B3" s="34">
        <v>139000</v>
      </c>
      <c r="C3" s="35">
        <v>1</v>
      </c>
      <c r="D3" s="36">
        <f>B3*17%/12</f>
        <v>1969.16666666667</v>
      </c>
      <c r="E3" s="37">
        <v>5900</v>
      </c>
      <c r="F3" s="36">
        <f>E3-D3</f>
        <v>3930.83333333333</v>
      </c>
      <c r="H3" s="35" t="s">
        <v>13</v>
      </c>
      <c r="I3" s="35"/>
    </row>
    <row r="4" spans="2:9">
      <c r="B4" s="36">
        <f>B3-F3</f>
        <v>135069.166666667</v>
      </c>
      <c r="C4" s="35">
        <v>2</v>
      </c>
      <c r="D4" s="36">
        <f t="shared" ref="D4:D38" si="0">B4*17%/12</f>
        <v>1913.47986111111</v>
      </c>
      <c r="E4" s="38">
        <f>$E$3</f>
        <v>5900</v>
      </c>
      <c r="F4" s="36">
        <f t="shared" ref="F4:F22" si="1">E4-D4</f>
        <v>3986.52013888889</v>
      </c>
      <c r="H4" s="35" t="s">
        <v>14</v>
      </c>
      <c r="I4" s="35" t="s">
        <v>15</v>
      </c>
    </row>
    <row r="5" spans="2:9">
      <c r="B5" s="36">
        <f t="shared" ref="B5:B22" si="2">B4-F4</f>
        <v>131082.646527778</v>
      </c>
      <c r="C5" s="35">
        <v>3</v>
      </c>
      <c r="D5" s="36">
        <f t="shared" si="0"/>
        <v>1857.00415914352</v>
      </c>
      <c r="E5" s="38">
        <f t="shared" ref="E5:E14" si="3">$E$3</f>
        <v>5900</v>
      </c>
      <c r="F5" s="36">
        <f t="shared" si="1"/>
        <v>4042.99584085648</v>
      </c>
      <c r="H5" s="35" t="s">
        <v>16</v>
      </c>
      <c r="I5" s="35"/>
    </row>
    <row r="6" spans="2:9">
      <c r="B6" s="36">
        <f t="shared" si="2"/>
        <v>127039.650686921</v>
      </c>
      <c r="C6" s="35">
        <v>4</v>
      </c>
      <c r="D6" s="36">
        <f t="shared" si="0"/>
        <v>1799.72838473138</v>
      </c>
      <c r="E6" s="38">
        <f t="shared" si="3"/>
        <v>5900</v>
      </c>
      <c r="F6" s="36">
        <f t="shared" si="1"/>
        <v>4100.27161526862</v>
      </c>
      <c r="H6" s="35" t="s">
        <v>17</v>
      </c>
      <c r="I6" s="35"/>
    </row>
    <row r="7" spans="2:9">
      <c r="B7" s="36">
        <f t="shared" si="2"/>
        <v>122939.379071653</v>
      </c>
      <c r="C7" s="35">
        <v>5</v>
      </c>
      <c r="D7" s="36">
        <f t="shared" si="0"/>
        <v>1741.64120351508</v>
      </c>
      <c r="E7" s="38">
        <f t="shared" si="3"/>
        <v>5900</v>
      </c>
      <c r="F7" s="36">
        <f t="shared" si="1"/>
        <v>4158.35879648492</v>
      </c>
      <c r="H7" s="35" t="s">
        <v>18</v>
      </c>
      <c r="I7" s="41"/>
    </row>
    <row r="8" spans="2:9">
      <c r="B8" s="36">
        <f t="shared" si="2"/>
        <v>118781.020275168</v>
      </c>
      <c r="C8" s="35">
        <v>6</v>
      </c>
      <c r="D8" s="36">
        <f t="shared" si="0"/>
        <v>1682.73112056488</v>
      </c>
      <c r="E8" s="38">
        <f t="shared" si="3"/>
        <v>5900</v>
      </c>
      <c r="F8" s="36">
        <f t="shared" si="1"/>
        <v>4217.26887943512</v>
      </c>
      <c r="H8" s="35" t="s">
        <v>19</v>
      </c>
      <c r="I8" s="41" t="s">
        <v>20</v>
      </c>
    </row>
    <row r="9" spans="2:9">
      <c r="B9" s="36">
        <f t="shared" si="2"/>
        <v>114563.751395733</v>
      </c>
      <c r="C9" s="35">
        <v>7</v>
      </c>
      <c r="D9" s="36">
        <f t="shared" si="0"/>
        <v>1622.98647810621</v>
      </c>
      <c r="E9" s="38">
        <f t="shared" si="3"/>
        <v>5900</v>
      </c>
      <c r="F9" s="36">
        <f t="shared" si="1"/>
        <v>4277.01352189379</v>
      </c>
      <c r="H9" s="39" t="s">
        <v>21</v>
      </c>
      <c r="I9" s="35"/>
    </row>
    <row r="10" spans="2:9">
      <c r="B10" s="36">
        <f t="shared" si="2"/>
        <v>110286.737873839</v>
      </c>
      <c r="C10" s="35">
        <v>8</v>
      </c>
      <c r="D10" s="36">
        <f t="shared" si="0"/>
        <v>1562.39545321272</v>
      </c>
      <c r="E10" s="38">
        <f t="shared" si="3"/>
        <v>5900</v>
      </c>
      <c r="F10" s="36">
        <f t="shared" si="1"/>
        <v>4337.60454678728</v>
      </c>
      <c r="H10" s="35" t="s">
        <v>22</v>
      </c>
      <c r="I10" s="35" t="s">
        <v>23</v>
      </c>
    </row>
    <row r="11" spans="2:6">
      <c r="B11" s="36">
        <f t="shared" si="2"/>
        <v>105949.133327052</v>
      </c>
      <c r="C11" s="35">
        <v>9</v>
      </c>
      <c r="D11" s="36">
        <f t="shared" si="0"/>
        <v>1500.94605546656</v>
      </c>
      <c r="E11" s="38">
        <f t="shared" si="3"/>
        <v>5900</v>
      </c>
      <c r="F11" s="36">
        <f t="shared" si="1"/>
        <v>4399.05394453344</v>
      </c>
    </row>
    <row r="12" spans="2:6">
      <c r="B12" s="36">
        <f t="shared" si="2"/>
        <v>101550.079382518</v>
      </c>
      <c r="C12" s="35">
        <v>10</v>
      </c>
      <c r="D12" s="36">
        <f t="shared" si="0"/>
        <v>1438.62612458567</v>
      </c>
      <c r="E12" s="38">
        <f t="shared" si="3"/>
        <v>5900</v>
      </c>
      <c r="F12" s="36">
        <f t="shared" si="1"/>
        <v>4461.37387541433</v>
      </c>
    </row>
    <row r="13" spans="2:6">
      <c r="B13" s="36">
        <f t="shared" si="2"/>
        <v>97088.7055071038</v>
      </c>
      <c r="C13" s="35">
        <v>11</v>
      </c>
      <c r="D13" s="36">
        <f t="shared" si="0"/>
        <v>1375.4233280173</v>
      </c>
      <c r="E13" s="38">
        <f t="shared" si="3"/>
        <v>5900</v>
      </c>
      <c r="F13" s="36">
        <f t="shared" si="1"/>
        <v>4524.5766719827</v>
      </c>
    </row>
    <row r="14" spans="2:6">
      <c r="B14" s="36">
        <f t="shared" si="2"/>
        <v>92564.1288351211</v>
      </c>
      <c r="C14" s="35">
        <v>12</v>
      </c>
      <c r="D14" s="36">
        <f t="shared" si="0"/>
        <v>1311.32515849755</v>
      </c>
      <c r="E14" s="38">
        <f t="shared" si="3"/>
        <v>5900</v>
      </c>
      <c r="F14" s="36">
        <f t="shared" si="1"/>
        <v>4588.67484150245</v>
      </c>
    </row>
    <row r="15" spans="2:6">
      <c r="B15" s="36">
        <f t="shared" si="2"/>
        <v>87975.4539936187</v>
      </c>
      <c r="C15" s="35">
        <v>13</v>
      </c>
      <c r="D15" s="36">
        <f t="shared" si="0"/>
        <v>1246.31893157626</v>
      </c>
      <c r="E15" s="38">
        <f t="shared" ref="E15:E24" si="4">$E$3</f>
        <v>5900</v>
      </c>
      <c r="F15" s="36">
        <f t="shared" si="1"/>
        <v>4653.68106842374</v>
      </c>
    </row>
    <row r="16" spans="2:6">
      <c r="B16" s="36">
        <f t="shared" si="2"/>
        <v>83321.7729251949</v>
      </c>
      <c r="C16" s="35">
        <v>14</v>
      </c>
      <c r="D16" s="36">
        <f t="shared" si="0"/>
        <v>1180.39178310693</v>
      </c>
      <c r="E16" s="38">
        <f t="shared" si="4"/>
        <v>5900</v>
      </c>
      <c r="F16" s="36">
        <f t="shared" si="1"/>
        <v>4719.60821689307</v>
      </c>
    </row>
    <row r="17" spans="2:6">
      <c r="B17" s="36">
        <f t="shared" si="2"/>
        <v>78602.1647083019</v>
      </c>
      <c r="C17" s="35">
        <v>15</v>
      </c>
      <c r="D17" s="36">
        <f t="shared" si="0"/>
        <v>1113.53066670094</v>
      </c>
      <c r="E17" s="38">
        <f t="shared" si="4"/>
        <v>5900</v>
      </c>
      <c r="F17" s="36">
        <f t="shared" si="1"/>
        <v>4786.46933329906</v>
      </c>
    </row>
    <row r="18" spans="2:6">
      <c r="B18" s="36">
        <f t="shared" si="2"/>
        <v>73815.6953750028</v>
      </c>
      <c r="C18" s="35">
        <v>16</v>
      </c>
      <c r="D18" s="36">
        <f t="shared" si="0"/>
        <v>1045.72235114587</v>
      </c>
      <c r="E18" s="38">
        <f t="shared" si="4"/>
        <v>5900</v>
      </c>
      <c r="F18" s="36">
        <f t="shared" si="1"/>
        <v>4854.27764885413</v>
      </c>
    </row>
    <row r="19" spans="2:6">
      <c r="B19" s="36">
        <f t="shared" si="2"/>
        <v>68961.4177261487</v>
      </c>
      <c r="C19" s="35">
        <v>17</v>
      </c>
      <c r="D19" s="36">
        <f t="shared" si="0"/>
        <v>976.953417787106</v>
      </c>
      <c r="E19" s="38">
        <f t="shared" si="4"/>
        <v>5900</v>
      </c>
      <c r="F19" s="36">
        <f t="shared" si="1"/>
        <v>4923.04658221289</v>
      </c>
    </row>
    <row r="20" spans="2:6">
      <c r="B20" s="36">
        <f t="shared" si="2"/>
        <v>64038.3711439358</v>
      </c>
      <c r="C20" s="35">
        <v>18</v>
      </c>
      <c r="D20" s="36">
        <f t="shared" si="0"/>
        <v>907.210257872424</v>
      </c>
      <c r="E20" s="38">
        <f t="shared" si="4"/>
        <v>5900</v>
      </c>
      <c r="F20" s="36">
        <f t="shared" si="1"/>
        <v>4992.78974212758</v>
      </c>
    </row>
    <row r="21" spans="2:6">
      <c r="B21" s="36">
        <f t="shared" si="2"/>
        <v>59045.5814018082</v>
      </c>
      <c r="C21" s="35">
        <v>19</v>
      </c>
      <c r="D21" s="36">
        <f t="shared" si="0"/>
        <v>836.47906985895</v>
      </c>
      <c r="E21" s="38">
        <f t="shared" si="4"/>
        <v>5900</v>
      </c>
      <c r="F21" s="36">
        <f t="shared" si="1"/>
        <v>5063.52093014105</v>
      </c>
    </row>
    <row r="22" spans="2:6">
      <c r="B22" s="36">
        <f t="shared" si="2"/>
        <v>53982.0604716672</v>
      </c>
      <c r="C22" s="35">
        <v>20</v>
      </c>
      <c r="D22" s="36">
        <f t="shared" si="0"/>
        <v>764.745856681951</v>
      </c>
      <c r="E22" s="38">
        <f t="shared" si="4"/>
        <v>5900</v>
      </c>
      <c r="F22" s="36">
        <f t="shared" si="1"/>
        <v>5135.25414331805</v>
      </c>
    </row>
    <row r="23" spans="2:6">
      <c r="B23" s="36">
        <f t="shared" ref="B23:B38" si="5">B22-F22</f>
        <v>48846.8063283491</v>
      </c>
      <c r="C23" s="35">
        <v>21</v>
      </c>
      <c r="D23" s="36">
        <f t="shared" si="0"/>
        <v>691.996422984946</v>
      </c>
      <c r="E23" s="38">
        <f t="shared" si="4"/>
        <v>5900</v>
      </c>
      <c r="F23" s="36">
        <f t="shared" ref="F23:F38" si="6">E23-D23</f>
        <v>5208.00357701505</v>
      </c>
    </row>
    <row r="24" spans="2:6">
      <c r="B24" s="36">
        <f t="shared" si="5"/>
        <v>43638.802751334</v>
      </c>
      <c r="C24" s="35">
        <v>22</v>
      </c>
      <c r="D24" s="36">
        <f t="shared" si="0"/>
        <v>618.216372310566</v>
      </c>
      <c r="E24" s="38">
        <f t="shared" si="4"/>
        <v>5900</v>
      </c>
      <c r="F24" s="36">
        <f t="shared" si="6"/>
        <v>5281.78362768943</v>
      </c>
    </row>
    <row r="25" spans="2:6">
      <c r="B25" s="36">
        <f t="shared" si="5"/>
        <v>38357.0191236446</v>
      </c>
      <c r="C25" s="35">
        <v>23</v>
      </c>
      <c r="D25" s="36">
        <f t="shared" si="0"/>
        <v>543.391104251632</v>
      </c>
      <c r="E25" s="38">
        <f t="shared" ref="E25:E38" si="7">$E$3</f>
        <v>5900</v>
      </c>
      <c r="F25" s="36">
        <f t="shared" si="6"/>
        <v>5356.60889574837</v>
      </c>
    </row>
    <row r="26" spans="2:6">
      <c r="B26" s="36">
        <f t="shared" si="5"/>
        <v>33000.4102278962</v>
      </c>
      <c r="C26" s="35">
        <v>24</v>
      </c>
      <c r="D26" s="36">
        <f t="shared" si="0"/>
        <v>467.505811561864</v>
      </c>
      <c r="E26" s="38">
        <f t="shared" si="7"/>
        <v>5900</v>
      </c>
      <c r="F26" s="36">
        <f t="shared" si="6"/>
        <v>5432.49418843814</v>
      </c>
    </row>
    <row r="27" spans="2:6">
      <c r="B27" s="36">
        <f t="shared" si="5"/>
        <v>27567.9160394581</v>
      </c>
      <c r="C27" s="35">
        <v>25</v>
      </c>
      <c r="D27" s="36">
        <f t="shared" si="0"/>
        <v>390.545477225657</v>
      </c>
      <c r="E27" s="38">
        <f t="shared" si="7"/>
        <v>5900</v>
      </c>
      <c r="F27" s="36">
        <f t="shared" si="6"/>
        <v>5509.45452277434</v>
      </c>
    </row>
    <row r="28" spans="2:6">
      <c r="B28" s="36">
        <f t="shared" si="5"/>
        <v>22058.4615166838</v>
      </c>
      <c r="C28" s="35">
        <v>26</v>
      </c>
      <c r="D28" s="36">
        <f t="shared" si="0"/>
        <v>312.494871486353</v>
      </c>
      <c r="E28" s="38">
        <f t="shared" si="7"/>
        <v>5900</v>
      </c>
      <c r="F28" s="36">
        <f t="shared" si="6"/>
        <v>5587.50512851365</v>
      </c>
    </row>
    <row r="29" spans="2:6">
      <c r="B29" s="36">
        <f t="shared" si="5"/>
        <v>16470.9563881701</v>
      </c>
      <c r="C29" s="35">
        <v>27</v>
      </c>
      <c r="D29" s="36">
        <f t="shared" si="0"/>
        <v>233.33854883241</v>
      </c>
      <c r="E29" s="38">
        <f t="shared" si="7"/>
        <v>5900</v>
      </c>
      <c r="F29" s="36">
        <f t="shared" si="6"/>
        <v>5666.66145116759</v>
      </c>
    </row>
    <row r="30" spans="2:6">
      <c r="B30" s="36">
        <f t="shared" si="5"/>
        <v>10804.2949370025</v>
      </c>
      <c r="C30" s="35">
        <v>28</v>
      </c>
      <c r="D30" s="36">
        <f t="shared" si="0"/>
        <v>153.060844940869</v>
      </c>
      <c r="E30" s="38">
        <f t="shared" si="7"/>
        <v>5900</v>
      </c>
      <c r="F30" s="36">
        <f t="shared" si="6"/>
        <v>5746.93915505913</v>
      </c>
    </row>
    <row r="31" spans="2:6">
      <c r="B31" s="36">
        <f t="shared" si="5"/>
        <v>5057.3557819434</v>
      </c>
      <c r="C31" s="35">
        <v>29</v>
      </c>
      <c r="D31" s="36">
        <f t="shared" si="0"/>
        <v>71.6458735775314</v>
      </c>
      <c r="E31" s="38">
        <f t="shared" si="7"/>
        <v>5900</v>
      </c>
      <c r="F31" s="36">
        <f t="shared" si="6"/>
        <v>5828.35412642247</v>
      </c>
    </row>
    <row r="32" spans="2:6">
      <c r="B32" s="36">
        <f t="shared" si="5"/>
        <v>-770.998344479072</v>
      </c>
      <c r="C32" s="35">
        <v>30</v>
      </c>
      <c r="D32" s="36">
        <f t="shared" si="0"/>
        <v>-10.9224765467869</v>
      </c>
      <c r="E32" s="38">
        <f t="shared" si="7"/>
        <v>5900</v>
      </c>
      <c r="F32" s="36">
        <f t="shared" si="6"/>
        <v>5910.92247654679</v>
      </c>
    </row>
    <row r="33" spans="2:6">
      <c r="B33" s="36">
        <f t="shared" si="5"/>
        <v>-6681.92082102586</v>
      </c>
      <c r="C33" s="35">
        <v>31</v>
      </c>
      <c r="D33" s="36">
        <f t="shared" si="0"/>
        <v>-94.660544964533</v>
      </c>
      <c r="E33" s="38">
        <f t="shared" si="7"/>
        <v>5900</v>
      </c>
      <c r="F33" s="36">
        <f t="shared" si="6"/>
        <v>5994.66054496453</v>
      </c>
    </row>
    <row r="34" spans="2:6">
      <c r="B34" s="36">
        <f t="shared" si="5"/>
        <v>-12676.5813659904</v>
      </c>
      <c r="C34" s="35">
        <v>32</v>
      </c>
      <c r="D34" s="36">
        <f t="shared" si="0"/>
        <v>-179.584902684864</v>
      </c>
      <c r="E34" s="38">
        <f t="shared" si="7"/>
        <v>5900</v>
      </c>
      <c r="F34" s="36">
        <f t="shared" si="6"/>
        <v>6079.58490268486</v>
      </c>
    </row>
    <row r="35" spans="2:6">
      <c r="B35" s="36">
        <f t="shared" si="5"/>
        <v>-18756.1662686753</v>
      </c>
      <c r="C35" s="35">
        <v>33</v>
      </c>
      <c r="D35" s="36">
        <f t="shared" si="0"/>
        <v>-265.7123554729</v>
      </c>
      <c r="E35" s="38">
        <f t="shared" si="7"/>
        <v>5900</v>
      </c>
      <c r="F35" s="36">
        <f t="shared" si="6"/>
        <v>6165.7123554729</v>
      </c>
    </row>
    <row r="36" spans="2:6">
      <c r="B36" s="36">
        <f t="shared" si="5"/>
        <v>-24921.8786241482</v>
      </c>
      <c r="C36" s="35">
        <v>34</v>
      </c>
      <c r="D36" s="36">
        <f t="shared" si="0"/>
        <v>-353.059947175432</v>
      </c>
      <c r="E36" s="38">
        <f t="shared" si="7"/>
        <v>5900</v>
      </c>
      <c r="F36" s="36">
        <f t="shared" si="6"/>
        <v>6253.05994717543</v>
      </c>
    </row>
    <row r="37" spans="2:6">
      <c r="B37" s="36">
        <f t="shared" si="5"/>
        <v>-31174.9385713236</v>
      </c>
      <c r="C37" s="35">
        <v>35</v>
      </c>
      <c r="D37" s="36">
        <f t="shared" si="0"/>
        <v>-441.644963093751</v>
      </c>
      <c r="E37" s="38">
        <f t="shared" si="7"/>
        <v>5900</v>
      </c>
      <c r="F37" s="36">
        <f t="shared" si="6"/>
        <v>6341.64496309375</v>
      </c>
    </row>
    <row r="38" spans="2:6">
      <c r="B38" s="36">
        <f t="shared" si="5"/>
        <v>-37516.5835344173</v>
      </c>
      <c r="C38" s="35">
        <v>36</v>
      </c>
      <c r="D38" s="36">
        <f t="shared" si="0"/>
        <v>-531.484933404246</v>
      </c>
      <c r="E38" s="38">
        <f t="shared" si="7"/>
        <v>5900</v>
      </c>
      <c r="F38" s="36">
        <f t="shared" si="6"/>
        <v>6431.48493340425</v>
      </c>
    </row>
    <row r="40" spans="3:4">
      <c r="C40" s="35" t="s">
        <v>24</v>
      </c>
      <c r="D40" s="36">
        <f>SUM(D3:D31)</f>
        <v>31329.0016555209</v>
      </c>
    </row>
  </sheetData>
  <mergeCells count="1">
    <mergeCell ref="H9:I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G5"/>
  <sheetViews>
    <sheetView workbookViewId="0">
      <selection activeCell="E3" sqref="E3"/>
    </sheetView>
  </sheetViews>
  <sheetFormatPr defaultColWidth="11.5" defaultRowHeight="14.4" outlineLevelRow="4" outlineLevelCol="6"/>
  <cols>
    <col min="1" max="1" width="13.3796296296296" style="1" customWidth="1"/>
    <col min="2" max="2" width="11.5" style="1" customWidth="1"/>
    <col min="3" max="3" width="14.1296296296296" style="1" customWidth="1"/>
    <col min="4" max="16384" width="11.5" style="1" customWidth="1"/>
  </cols>
  <sheetData>
    <row r="1" ht="22" customHeight="1" spans="1:7">
      <c r="A1" s="22" t="s">
        <v>25</v>
      </c>
      <c r="B1" s="22"/>
      <c r="C1" s="22"/>
      <c r="D1" s="22"/>
      <c r="E1" s="22"/>
      <c r="F1" s="23" t="s">
        <v>26</v>
      </c>
      <c r="G1" s="23"/>
    </row>
    <row r="2" spans="1:5">
      <c r="A2" s="24" t="s">
        <v>27</v>
      </c>
      <c r="B2" s="24" t="s">
        <v>28</v>
      </c>
      <c r="C2" s="24" t="s">
        <v>29</v>
      </c>
      <c r="D2" s="24" t="s">
        <v>30</v>
      </c>
      <c r="E2" s="24" t="s">
        <v>31</v>
      </c>
    </row>
    <row r="3" spans="1:5">
      <c r="A3" s="25">
        <v>176284.795675149</v>
      </c>
      <c r="B3" s="26">
        <v>0.17</v>
      </c>
      <c r="C3" s="7">
        <v>12</v>
      </c>
      <c r="D3" s="25">
        <v>1</v>
      </c>
      <c r="E3" s="8">
        <f>A3*B3/C3*D3</f>
        <v>2497.36793873128</v>
      </c>
    </row>
    <row r="5" spans="2:2">
      <c r="B5" s="27"/>
    </row>
  </sheetData>
  <mergeCells count="2">
    <mergeCell ref="A1:E1"/>
    <mergeCell ref="F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2" sqref="B2"/>
    </sheetView>
  </sheetViews>
  <sheetFormatPr defaultColWidth="9" defaultRowHeight="14.4"/>
  <cols>
    <col min="1" max="1" width="10.8796296296296" style="1" customWidth="1"/>
    <col min="2" max="2" width="10.3796296296296" style="1"/>
    <col min="3" max="4" width="9" style="1"/>
    <col min="5" max="5" width="11.5" style="2"/>
    <col min="6" max="8" width="9" style="1"/>
    <col min="9" max="9" width="12.6296296296296" style="1"/>
    <col min="10" max="16384" width="9" style="1"/>
  </cols>
  <sheetData>
    <row r="1" spans="1:9">
      <c r="A1" s="3"/>
      <c r="B1" s="4" t="s">
        <v>32</v>
      </c>
      <c r="C1" s="4" t="s">
        <v>33</v>
      </c>
      <c r="D1" s="4" t="s">
        <v>34</v>
      </c>
      <c r="E1" s="5" t="s">
        <v>35</v>
      </c>
      <c r="F1" s="4" t="s">
        <v>36</v>
      </c>
      <c r="G1" s="4" t="s">
        <v>37</v>
      </c>
      <c r="H1" s="4" t="s">
        <v>38</v>
      </c>
      <c r="I1" s="17" t="s">
        <v>39</v>
      </c>
    </row>
    <row r="2" spans="1:9">
      <c r="A2" s="6" t="s">
        <v>40</v>
      </c>
      <c r="B2" s="7">
        <f>客户方案计算表!E3*36</f>
        <v>212400</v>
      </c>
      <c r="C2" s="7">
        <v>240000</v>
      </c>
      <c r="D2" s="7">
        <v>36</v>
      </c>
      <c r="E2" s="8">
        <v>10977.83</v>
      </c>
      <c r="F2" s="7">
        <v>8</v>
      </c>
      <c r="G2" s="7">
        <v>0</v>
      </c>
      <c r="H2" s="7">
        <f>C2*17%/12*(F2+G2)</f>
        <v>27200</v>
      </c>
      <c r="I2" s="18">
        <f>B2-C2-H2</f>
        <v>-54800</v>
      </c>
    </row>
    <row r="3" spans="1:9">
      <c r="A3" s="6"/>
      <c r="B3" s="7"/>
      <c r="C3" s="7"/>
      <c r="D3" s="7"/>
      <c r="E3" s="8"/>
      <c r="F3" s="7"/>
      <c r="G3" s="7"/>
      <c r="H3" s="7"/>
      <c r="I3" s="18"/>
    </row>
    <row r="4" spans="1:9">
      <c r="A4" s="6" t="s">
        <v>41</v>
      </c>
      <c r="B4" s="7">
        <f>客户方案计算表!E3*36</f>
        <v>212400</v>
      </c>
      <c r="C4" s="7">
        <v>240000</v>
      </c>
      <c r="D4" s="7">
        <v>36</v>
      </c>
      <c r="E4" s="8">
        <v>10977.83</v>
      </c>
      <c r="F4" s="7">
        <v>8</v>
      </c>
      <c r="G4" s="7">
        <v>0</v>
      </c>
      <c r="H4" s="7">
        <f>C4*17%*3</f>
        <v>122400</v>
      </c>
      <c r="I4" s="18">
        <f>B4-C4-H4</f>
        <v>-150000</v>
      </c>
    </row>
    <row r="5" ht="15.15" spans="1:9">
      <c r="A5" s="9"/>
      <c r="B5" s="10"/>
      <c r="C5" s="10"/>
      <c r="D5" s="10"/>
      <c r="E5" s="11"/>
      <c r="F5" s="10"/>
      <c r="G5" s="10"/>
      <c r="H5" s="10"/>
      <c r="I5" s="19"/>
    </row>
    <row r="6" spans="1:9">
      <c r="A6" s="12" t="s">
        <v>42</v>
      </c>
      <c r="B6" s="13"/>
      <c r="C6" s="13"/>
      <c r="D6" s="13"/>
      <c r="E6" s="13"/>
      <c r="F6" s="13"/>
      <c r="G6" s="13"/>
      <c r="H6" s="13"/>
      <c r="I6" s="20"/>
    </row>
    <row r="7" spans="1:9">
      <c r="A7" s="14"/>
      <c r="B7" s="13"/>
      <c r="C7" s="13"/>
      <c r="D7" s="13"/>
      <c r="E7" s="13"/>
      <c r="F7" s="13"/>
      <c r="G7" s="13"/>
      <c r="H7" s="13"/>
      <c r="I7" s="20"/>
    </row>
    <row r="8" spans="1:9">
      <c r="A8" s="14"/>
      <c r="B8" s="13"/>
      <c r="C8" s="13"/>
      <c r="D8" s="13"/>
      <c r="E8" s="13"/>
      <c r="F8" s="13"/>
      <c r="G8" s="13"/>
      <c r="H8" s="13"/>
      <c r="I8" s="20"/>
    </row>
    <row r="9" spans="1:9">
      <c r="A9" s="14"/>
      <c r="B9" s="13"/>
      <c r="C9" s="13"/>
      <c r="D9" s="13"/>
      <c r="E9" s="13"/>
      <c r="F9" s="13"/>
      <c r="G9" s="13"/>
      <c r="H9" s="13"/>
      <c r="I9" s="20"/>
    </row>
    <row r="10" spans="1:9">
      <c r="A10" s="14"/>
      <c r="B10" s="13"/>
      <c r="C10" s="13"/>
      <c r="D10" s="13"/>
      <c r="E10" s="13"/>
      <c r="F10" s="13"/>
      <c r="G10" s="13"/>
      <c r="H10" s="13"/>
      <c r="I10" s="20"/>
    </row>
    <row r="11" ht="81" customHeight="1" spans="1:9">
      <c r="A11" s="15"/>
      <c r="B11" s="16"/>
      <c r="C11" s="16"/>
      <c r="D11" s="16"/>
      <c r="E11" s="16"/>
      <c r="F11" s="16"/>
      <c r="G11" s="16"/>
      <c r="H11" s="16"/>
      <c r="I11" s="21"/>
    </row>
    <row r="15" spans="1:1">
      <c r="A15" s="13" t="s">
        <v>43</v>
      </c>
    </row>
  </sheetData>
  <mergeCells count="1">
    <mergeCell ref="A6:I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客户方案计算表</vt:lpstr>
      <vt:lpstr>逾期利息</vt:lpstr>
      <vt:lpstr>减免计算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2020-09-30T02:40:00Z</dcterms:created>
  <dcterms:modified xsi:type="dcterms:W3CDTF">2020-12-01T05:10:43Z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